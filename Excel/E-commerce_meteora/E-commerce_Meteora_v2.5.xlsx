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pivotCache/pivotCacheDefinition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23" documentId="8_{2BCB36E9-ED98-4D97-BC89-033AD3013826}" xr6:coauthVersionLast="47" xr6:coauthVersionMax="47" xr10:uidLastSave="{E64FA75B-C990-4C0C-B3A5-2BEEC7392F87}"/>
  <bookViews>
    <workbookView xWindow="32190" yWindow="0" windowWidth="28155" windowHeight="15585" tabRatio="698" activeTab="9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DN_Produtos" sheetId="29" r:id="rId6"/>
    <sheet name="DN_Vendas" sheetId="31" r:id="rId7"/>
    <sheet name="Cadastros Auxiliares" sheetId="23" state="hidden" r:id="rId8"/>
    <sheet name="DN_Vendedores" sheetId="34" r:id="rId9"/>
    <sheet name="Dashboard" sheetId="18" r:id="rId10"/>
  </sheets>
  <definedNames>
    <definedName name="_xlnm._FilterDatabase" localSheetId="3" hidden="1">Vendas!$B$4:$E$86</definedName>
    <definedName name="_xlcn.WorksheetConnection_Ecommerce_Meteora_v2.5.xlsxTB_Produtos1" hidden="1">TB_Produtos[]</definedName>
    <definedName name="_xlcn.WorksheetConnection_Ecommerce_Meteora_v2.5.xlsxTB_Vendas1" hidden="1">TB_Vendas[]</definedName>
    <definedName name="_xlcn.WorksheetConnection_Ecommerce_Meteora_v2.5.xlsxTB_Vendedores1" hidden="1">TB_Vendedores[]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1">#N/A</definedName>
    <definedName name="Timeline_Data">#N/A</definedName>
  </definedNames>
  <calcPr calcId="191029"/>
  <pivotCaches>
    <pivotCache cacheId="4" r:id="rId11"/>
    <pivotCache cacheId="275" r:id="rId12"/>
    <pivotCache cacheId="330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76" r:id="rId15"/>
      </x15:timelineCachePivotCaches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as" name="TB_Vendas" connection="WorksheetConnection_E-commerce_Meteora_v2.5.xlsx!TB_Vendas"/>
          <x15:modelTable id="TB_Produtos" name="TB_Produtos" connection="WorksheetConnection_E-commerce_Meteora_v2.5.xlsx!TB_Produtos"/>
          <x15:modelTable id="TB_Vendedores" name="TB_Vendedores" connection="WorksheetConnection_E-commerce_Meteora_v2.5.xlsx!TB_Vendedores"/>
        </x15:modelTables>
        <x15:modelRelationships>
          <x15:modelRelationship fromTable="TB_Vend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K4" i="18" l="1"/>
  <c r="AQ4" i="18"/>
  <c r="W4" i="18"/>
  <c r="D5" i="16" l="1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1" i="24" a="1"/>
  <c r="C11" i="24" s="1"/>
  <c r="F7" i="24"/>
  <c r="C8" i="24" a="1"/>
  <c r="C8" i="24" s="1"/>
  <c r="C7" i="24"/>
  <c r="C10" i="24"/>
  <c r="C9" i="24"/>
  <c r="C13" i="24" s="1"/>
  <c r="F9" i="24"/>
  <c r="C12" i="24" l="1" a="1"/>
  <c r="C12" i="24" s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B03CA-FAE1-4E2B-92CE-4A2F3FCE02A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7D816A-8CA0-4305-8A4D-B9B2F974C868}" name="WorksheetConnection_E-commerce_Meteora_v2.5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Ecommerce_Meteora_v2.5.xlsxTB_Produtos1"/>
        </x15:connection>
      </ext>
    </extLst>
  </connection>
  <connection id="3" xr16:uid="{08458BCE-1A74-4828-A084-2BEA40A40555}" name="WorksheetConnection_E-commerce_Meteora_v2.5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Ecommerce_Meteora_v2.5.xlsxTB_Vendas1"/>
        </x15:connection>
      </ext>
    </extLst>
  </connection>
  <connection id="4" xr16:uid="{D00C490C-1B1C-40C1-9DF2-89E3B01F5B48}" name="WorksheetConnection_E-commerce_Meteora_v2.5.xlsx!TB_Vendedores" type="102" refreshedVersion="8" minRefreshableVersion="5">
    <extLst>
      <ext xmlns:x15="http://schemas.microsoft.com/office/spreadsheetml/2010/11/main" uri="{DE250136-89BD-433C-8126-D09CA5730AF9}">
        <x15:connection id="TB_Vendedores" autoDelete="1">
          <x15:rangePr sourceName="_xlcn.WorksheetConnection_Ecommerce_Meteora_v2.5.xlsxTB_Vendedor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<sst xmlns="http://schemas.openxmlformats.org/spreadsheetml/2006/main" count="516" uniqueCount="175">
  <si>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</si>
  <si>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</si>
  <si>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</si>
  <si>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</si>
  <si>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</si>
  <si>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</si>
  <si>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</si>
  <si>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</si>
  <si>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</si>
  <si>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</si>
  <si>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</si>
  <si>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</si>
  <si>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</si>
  <si>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</si>
  <si>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</si>
  <si>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</si>
  <si>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</si>
  <si>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</si>
  <si>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</si>
  <si>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</si>
  <si>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</si>
  <si>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</si>
  <si>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</si>
  <si>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</si>
  <si>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</si>
  <si>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</si>
  <si>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</si>
  <si>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</si>
  <si>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</si>
  <si>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</si>
  <si>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</si>
  <si>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</si>
  <si>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</si>
  <si>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</si>
  <si>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</si>
  <si>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</si>
  <si>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</si>
  <si>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</si>
  <si>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</si>
  <si>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</si>
  <si>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</si>
  <si>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</si>
  <si>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</si>
  <si>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</si>
  <si>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</si>
  <si>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</si>
  <si>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</si>
  <si>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</si>
  <si>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</si>
  <si>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</si>
  <si>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</si>
  <si>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</si>
  <si>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</si>
  <si>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</si>
  <si>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</si>
  <si>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</si>
  <si>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</si>
  <si>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</si>
  <si>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</si>
  <si>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</si>
  <si>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</si>
  <si>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</si>
  <si>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</si>
  <si>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</si>
  <si>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</si>
  <si>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</si>
  <si>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</si>
  <si>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</si>
  <si>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</si>
  <si>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</si>
  <si>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</si>
  <si>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</si>
  <si>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</si>
  <si>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</si>
  <si>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</si>
  <si>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</si>
  <si>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</si>
  <si>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</si>
  <si>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</si>
  <si>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</si>
  <si>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</si>
  <si>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</si>
  <si>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</si>
  <si>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</si>
  <si>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</si>
  <si>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</si>
  <si>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</si>
  <si>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</si>
  <si>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</si>
  <si>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</si>
  <si>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</si>
  <si>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</si>
  <si>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</si>
  <si>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</si>
  <si>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</si>
  <si>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</si>
  <si>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</si>
  <si>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</si>
  <si>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</si>
  <si>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</si>
  <si>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</si>
  <si>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</si>
  <si>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</si>
  <si>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</si>
  <si>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</si>
  <si>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</si>
  <si>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</si>
  <si>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</si>
  <si>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</si>
  <si>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</si>
  <si>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</si>
  <si>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</si>
  <si>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</si>
  <si>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</si>
  <si>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</si>
  <si>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</si>
  <si>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</si>
  <si>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</si>
  <si>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</si>
  <si>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</si>
  <si>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</si>
  <si>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</si>
  <si>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</si>
  <si>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</si>
  <si>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</si>
  <si>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</si>
  <si>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</si>
  <si>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</si>
  <si>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</si>
  <si>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</si>
  <si>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</si>
  <si>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</si>
  <si>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</si>
  <si>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</si>
  <si>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</si>
  <si>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</si>
  <si>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</si>
  <si>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</si>
  <si>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</si>
  <si>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</si>
  <si>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</si>
  <si>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</si>
  <si>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</si>
  <si>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</si>
  <si>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</si>
  <si>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</si>
  <si>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</si>
  <si>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</si>
  <si>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</si>
  <si>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</si>
  <si>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</si>
  <si>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</si>
  <si>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</si>
  <si>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</si>
  <si>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</si>
  <si>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</si>
  <si>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</si>
  <si>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</si>
  <si>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</si>
  <si>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</si>
  <si>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</si>
  <si>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Soma de Preço Unitário</t>
  </si>
  <si>
    <t>Total Geral</t>
  </si>
  <si>
    <t>Soma de Estoque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</si>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</sst>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0" tint="-0.149967955565050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2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1" xfId="3" applyFont="1" applyFill="1" applyBorder="1" applyAlignment="1">
      <alignment horizontal="center"/>
    </xf>
    <xf numFmtId="1" fontId="18" fillId="7" borderId="2" xfId="0" applyNumberFormat="1" applyFont="1" applyFill="1" applyBorder="1" applyAlignment="1">
      <alignment horizontal="center"/>
    </xf>
    <xf numFmtId="1" fontId="18" fillId="7" borderId="12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14" fillId="2" borderId="13" xfId="3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15" fillId="0" borderId="2" xfId="5" applyFont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 wrapText="1"/>
    </xf>
    <xf numFmtId="0" fontId="14" fillId="2" borderId="20" xfId="3" applyFont="1" applyFill="1" applyBorder="1" applyAlignment="1">
      <alignment horizontal="center" vertical="center"/>
    </xf>
    <xf numFmtId="9" fontId="15" fillId="0" borderId="20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1" fillId="0" borderId="0" xfId="0" applyFont="1"/>
    <xf numFmtId="0" fontId="25" fillId="0" borderId="0" xfId="0" applyFont="1"/>
    <xf numFmtId="0" fontId="14" fillId="2" borderId="3" xfId="3" applyFont="1" applyFill="1" applyBorder="1" applyAlignment="1">
      <alignment horizontal="center" vertical="center" wrapText="1"/>
    </xf>
    <xf numFmtId="0" fontId="14" fillId="2" borderId="22" xfId="3" applyFont="1" applyFill="1" applyBorder="1" applyAlignment="1">
      <alignment horizontal="center" vertical="center" wrapText="1"/>
    </xf>
    <xf numFmtId="0" fontId="15" fillId="0" borderId="20" xfId="5" applyNumberFormat="1" applyFont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16" fillId="2" borderId="17" xfId="3" applyFont="1" applyFill="1" applyBorder="1" applyAlignment="1">
      <alignment horizontal="right" vertical="center"/>
    </xf>
    <xf numFmtId="0" fontId="16" fillId="2" borderId="6" xfId="3" applyFont="1" applyFill="1" applyBorder="1" applyAlignment="1">
      <alignment horizontal="right" vertical="center"/>
    </xf>
    <xf numFmtId="0" fontId="16" fillId="2" borderId="18" xfId="3" applyFont="1" applyFill="1" applyBorder="1" applyAlignment="1">
      <alignment horizontal="right" vertical="center"/>
    </xf>
    <xf numFmtId="0" fontId="16" fillId="2" borderId="21" xfId="3" applyFont="1" applyFill="1" applyBorder="1" applyAlignment="1">
      <alignment horizontal="right" vertical="center"/>
    </xf>
    <xf numFmtId="0" fontId="23" fillId="8" borderId="14" xfId="0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3" fillId="8" borderId="15" xfId="0" applyFont="1" applyFill="1" applyBorder="1" applyAlignment="1">
      <alignment horizontal="center" vertical="center"/>
    </xf>
    <xf numFmtId="165" fontId="23" fillId="8" borderId="15" xfId="0" applyNumberFormat="1" applyFont="1" applyFill="1" applyBorder="1" applyAlignment="1">
      <alignment horizontal="center" vertical="center"/>
    </xf>
    <xf numFmtId="165" fontId="23" fillId="8" borderId="16" xfId="0" applyNumberFormat="1" applyFont="1" applyFill="1" applyBorder="1" applyAlignment="1">
      <alignment horizontal="center" vertical="center"/>
    </xf>
    <xf numFmtId="14" fontId="23" fillId="8" borderId="14" xfId="0" applyNumberFormat="1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/>
    <xf numFmtId="0" fontId="0" fillId="0" borderId="0" xfId="0" applyAlignment="1"/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5" fontId="10" fillId="0" borderId="3" xfId="4" applyNumberFormat="1" applyFont="1" applyBorder="1" applyAlignment="1">
      <alignment horizontal="center"/>
    </xf>
    <xf numFmtId="165" fontId="10" fillId="0" borderId="4" xfId="4" applyNumberFormat="1" applyFont="1" applyBorder="1" applyAlignment="1">
      <alignment horizontal="center"/>
    </xf>
    <xf numFmtId="165" fontId="10" fillId="0" borderId="5" xfId="4" applyNumberFormat="1" applyFont="1" applyBorder="1" applyAlignment="1">
      <alignment horizontal="center"/>
    </xf>
    <xf numFmtId="165" fontId="10" fillId="0" borderId="6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7" xfId="4" applyNumberFormat="1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14" fillId="2" borderId="25" xfId="3" applyFont="1" applyFill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9" fontId="15" fillId="0" borderId="24" xfId="5" applyFont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9" fontId="15" fillId="0" borderId="30" xfId="5" applyFont="1" applyBorder="1" applyAlignment="1">
      <alignment horizontal="center" vertic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38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numFmt numFmtId="1" formatCode="0"/>
      <fill>
        <patternFill patternType="solid">
          <fgColor indexed="64"/>
          <bgColor rgb="FFCC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Montserra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EE6471"/>
      <color rgb="FF9353FF"/>
      <color rgb="FFCCCCCC"/>
      <color rgb="FF4472C4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[E-commerce_Meteora_v2.5.xlsx]DN_Vendas!TB_DN_Vendas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Qtd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7A7-BE5E-FFF8FE99C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4681119"/>
        <c:axId val="594678239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_("R$"* #,##0.00_);_("R$"* \(#,##0.00\);_("R$"* "-"??_);_(@_)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D-47A7-BE5E-FFF8FE99C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4268767"/>
        <c:axId val="634268287"/>
      </c:lineChart>
      <c:catAx>
        <c:axId val="5946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678239"/>
        <c:crosses val="autoZero"/>
        <c:auto val="1"/>
        <c:lblAlgn val="ctr"/>
        <c:lblOffset val="100"/>
        <c:noMultiLvlLbl val="0"/>
      </c:catAx>
      <c:valAx>
        <c:axId val="5946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681119"/>
        <c:crosses val="autoZero"/>
        <c:crossBetween val="between"/>
      </c:valAx>
      <c:valAx>
        <c:axId val="634268287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268767"/>
        <c:crosses val="max"/>
        <c:crossBetween val="between"/>
      </c:valAx>
      <c:catAx>
        <c:axId val="634268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426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[E-commerce_Meteora_v2.5.xlsx]DN_Vendedores!TB_DN_Vendedores</c:name>
    <c:fmtId val="1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Amanda</c:v>
                </c:pt>
                <c:pt idx="1">
                  <c:v>Bruno</c:v>
                </c:pt>
                <c:pt idx="2">
                  <c:v>Clara</c:v>
                </c:pt>
                <c:pt idx="3">
                  <c:v>João</c:v>
                </c:pt>
                <c:pt idx="4">
                  <c:v>Sarah</c:v>
                </c:pt>
              </c:strCache>
            </c:strRef>
          </c:cat>
          <c:val>
            <c:numRef>
              <c:f>DN_Vendedores!$B$4:$B$9</c:f>
              <c:numCache>
                <c:formatCode>_("R$"* #,##0.00_);_("R$"* \(#,##0.00\);_("R$"* "-"??_);_(@_)</c:formatCode>
                <c:ptCount val="5"/>
                <c:pt idx="0">
                  <c:v>6811.2</c:v>
                </c:pt>
                <c:pt idx="1">
                  <c:v>6552.6</c:v>
                </c:pt>
                <c:pt idx="2">
                  <c:v>3259.7000000000003</c:v>
                </c:pt>
                <c:pt idx="3">
                  <c:v>8601.5999999999985</c:v>
                </c:pt>
                <c:pt idx="4">
                  <c:v>8079.7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9-4ECE-80DD-FCBFCEAFB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76072415"/>
        <c:axId val="1276073855"/>
      </c:barChart>
      <c:catAx>
        <c:axId val="127607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AFF0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073855"/>
        <c:crosses val="autoZero"/>
        <c:auto val="1"/>
        <c:lblAlgn val="ctr"/>
        <c:lblOffset val="100"/>
        <c:noMultiLvlLbl val="0"/>
      </c:catAx>
      <c:valAx>
        <c:axId val="12760738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760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466090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1369059</xdr:colOff>
      <xdr:row>0</xdr:row>
      <xdr:rowOff>92394</xdr:rowOff>
    </xdr:from>
    <xdr:to>
      <xdr:col>7</xdr:col>
      <xdr:colOff>566419</xdr:colOff>
      <xdr:row>0</xdr:row>
      <xdr:rowOff>410529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603250</xdr:colOff>
      <xdr:row>0</xdr:row>
      <xdr:rowOff>92394</xdr:rowOff>
    </xdr:from>
    <xdr:to>
      <xdr:col>6</xdr:col>
      <xdr:colOff>709930</xdr:colOff>
      <xdr:row>0</xdr:row>
      <xdr:rowOff>410529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682308</xdr:colOff>
      <xdr:row>0</xdr:row>
      <xdr:rowOff>92394</xdr:rowOff>
    </xdr:from>
    <xdr:to>
      <xdr:col>5</xdr:col>
      <xdr:colOff>510858</xdr:colOff>
      <xdr:row>0</xdr:row>
      <xdr:rowOff>410529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532765</xdr:colOff>
      <xdr:row>0</xdr:row>
      <xdr:rowOff>92394</xdr:rowOff>
    </xdr:from>
    <xdr:to>
      <xdr:col>4</xdr:col>
      <xdr:colOff>582295</xdr:colOff>
      <xdr:row>0</xdr:row>
      <xdr:rowOff>410529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664209</xdr:colOff>
      <xdr:row>0</xdr:row>
      <xdr:rowOff>473709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5</xdr:col>
      <xdr:colOff>400049</xdr:colOff>
      <xdr:row>0</xdr:row>
      <xdr:rowOff>95250</xdr:rowOff>
    </xdr:from>
    <xdr:to>
      <xdr:col>7</xdr:col>
      <xdr:colOff>22859</xdr:colOff>
      <xdr:row>0</xdr:row>
      <xdr:rowOff>396240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304800</xdr:colOff>
      <xdr:row>0</xdr:row>
      <xdr:rowOff>95250</xdr:rowOff>
    </xdr:from>
    <xdr:to>
      <xdr:col>4</xdr:col>
      <xdr:colOff>1274445</xdr:colOff>
      <xdr:row>0</xdr:row>
      <xdr:rowOff>396240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858203</xdr:colOff>
      <xdr:row>0</xdr:row>
      <xdr:rowOff>95250</xdr:rowOff>
    </xdr:from>
    <xdr:to>
      <xdr:col>4</xdr:col>
      <xdr:colOff>168593</xdr:colOff>
      <xdr:row>0</xdr:row>
      <xdr:rowOff>396240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1501140</xdr:colOff>
      <xdr:row>0</xdr:row>
      <xdr:rowOff>95250</xdr:rowOff>
    </xdr:from>
    <xdr:to>
      <xdr:col>3</xdr:col>
      <xdr:colOff>777240</xdr:colOff>
      <xdr:row>0</xdr:row>
      <xdr:rowOff>396240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158115</xdr:colOff>
      <xdr:row>0</xdr:row>
      <xdr:rowOff>76200</xdr:rowOff>
    </xdr:from>
    <xdr:to>
      <xdr:col>1</xdr:col>
      <xdr:colOff>553719</xdr:colOff>
      <xdr:row>0</xdr:row>
      <xdr:rowOff>477519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" y="76200"/>
          <a:ext cx="395604" cy="401319"/>
        </a:xfrm>
        <a:prstGeom prst="rect">
          <a:avLst/>
        </a:prstGeom>
      </xdr:spPr>
    </xdr:pic>
    <xdr:clientData/>
  </xdr:twoCellAnchor>
  <xdr:twoCellAnchor editAs="absolute">
    <xdr:from>
      <xdr:col>9</xdr:col>
      <xdr:colOff>220979</xdr:colOff>
      <xdr:row>0</xdr:row>
      <xdr:rowOff>91440</xdr:rowOff>
    </xdr:from>
    <xdr:to>
      <xdr:col>9</xdr:col>
      <xdr:colOff>936307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725805</xdr:colOff>
      <xdr:row>0</xdr:row>
      <xdr:rowOff>91440</xdr:rowOff>
    </xdr:from>
    <xdr:to>
      <xdr:col>8</xdr:col>
      <xdr:colOff>607695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498476</xdr:colOff>
      <xdr:row>0</xdr:row>
      <xdr:rowOff>91440</xdr:rowOff>
    </xdr:from>
    <xdr:to>
      <xdr:col>7</xdr:col>
      <xdr:colOff>608648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579755</xdr:colOff>
      <xdr:row>0</xdr:row>
      <xdr:rowOff>91440</xdr:rowOff>
    </xdr:from>
    <xdr:to>
      <xdr:col>6</xdr:col>
      <xdr:colOff>398463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1171574</xdr:colOff>
      <xdr:row>0</xdr:row>
      <xdr:rowOff>85725</xdr:rowOff>
    </xdr:from>
    <xdr:to>
      <xdr:col>5</xdr:col>
      <xdr:colOff>398144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304800</xdr:colOff>
      <xdr:row>0</xdr:row>
      <xdr:rowOff>85725</xdr:rowOff>
    </xdr:from>
    <xdr:to>
      <xdr:col>4</xdr:col>
      <xdr:colOff>502920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212408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507024</xdr:colOff>
      <xdr:row>0</xdr:row>
      <xdr:rowOff>34436</xdr:rowOff>
    </xdr:from>
    <xdr:to>
      <xdr:col>2</xdr:col>
      <xdr:colOff>1238251</xdr:colOff>
      <xdr:row>1</xdr:row>
      <xdr:rowOff>21394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ia 1">
              <a:extLst>
                <a:ext uri="{FF2B5EF4-FFF2-40B4-BE49-F238E27FC236}">
                  <a16:creationId xmlns:a16="http://schemas.microsoft.com/office/drawing/2014/main" id="{458C1767-9FD8-42F9-FA06-4FC3C2EE18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834" y="34436"/>
              <a:ext cx="3170799" cy="605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19050</xdr:colOff>
      <xdr:row>5</xdr:row>
      <xdr:rowOff>53800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47991</xdr:colOff>
      <xdr:row>10</xdr:row>
      <xdr:rowOff>35975</xdr:rowOff>
    </xdr:from>
    <xdr:to>
      <xdr:col>41</xdr:col>
      <xdr:colOff>20955</xdr:colOff>
      <xdr:row>23</xdr:row>
      <xdr:rowOff>78105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8CEF8230-A56C-31E3-006F-764B3D654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18097</xdr:colOff>
      <xdr:row>27</xdr:row>
      <xdr:rowOff>21907</xdr:rowOff>
    </xdr:from>
    <xdr:to>
      <xdr:col>79</xdr:col>
      <xdr:colOff>102870</xdr:colOff>
      <xdr:row>45</xdr:row>
      <xdr:rowOff>114300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267543F-3DF8-C040-F045-B9F8507F7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41</xdr:col>
      <xdr:colOff>57150</xdr:colOff>
      <xdr:row>10</xdr:row>
      <xdr:rowOff>20955</xdr:rowOff>
    </xdr:from>
    <xdr:to>
      <xdr:col>79</xdr:col>
      <xdr:colOff>95249</xdr:colOff>
      <xdr:row>23</xdr:row>
      <xdr:rowOff>53340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a">
              <a:extLst>
                <a:ext uri="{FF2B5EF4-FFF2-40B4-BE49-F238E27FC236}">
                  <a16:creationId xmlns:a16="http://schemas.microsoft.com/office/drawing/2014/main" id="{FF0EECC2-FE60-4E73-B5BC-378115F324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0690" y="1255395"/>
              <a:ext cx="5113019" cy="1649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r Oliveira" refreshedDate="45964.981044675929" createdVersion="8" refreshedVersion="8" minRefreshableVersion="3" recordCount="60" xr:uid="{81AABAE0-BF47-4AEB-9948-409A76DFC56B}">
  <cacheSource type="worksheet">
    <worksheetSource name="TB_Produtos"/>
  </cacheSource>
  <cacheFields count="6">
    <cacheField name="Código" numFmtId="0">
      <sharedItems count="60">
        <s v="PR001"/>
        <s v="PR002"/>
        <s v="PR003"/>
        <s v="PR004"/>
        <s v="PR005"/>
        <s v="PR006"/>
        <s v="PR007"/>
        <s v="PR008"/>
        <s v="PR009"/>
        <s v="PR010"/>
        <s v="PR011"/>
        <s v="PR012"/>
        <s v="PR013"/>
        <s v="PR014"/>
        <s v="PR015"/>
        <s v="PR016"/>
        <s v="PR017"/>
        <s v="PR018"/>
        <s v="PR019"/>
        <s v="PR020"/>
        <s v="PR021"/>
        <s v="PR022"/>
        <s v="PR023"/>
        <s v="PR024"/>
        <s v="PR025"/>
        <s v="PR026"/>
        <s v="PR027"/>
        <s v="PR028"/>
        <s v="PR029"/>
        <s v="PR030"/>
        <s v="PR031"/>
        <s v="PR032"/>
        <s v="PR033"/>
        <s v="PR034"/>
        <s v="PR035"/>
        <s v="PR036"/>
        <s v="PR037"/>
        <s v="PR038"/>
        <s v="PR039"/>
        <s v="PR040"/>
        <s v="PR041"/>
        <s v="PR042"/>
        <s v="PR043"/>
        <s v="PR044"/>
        <s v="PR045"/>
        <s v="PR046"/>
        <s v="PR047"/>
        <s v="PR048"/>
        <s v="PR049"/>
        <s v="PR050"/>
        <s v="PR051"/>
        <s v="PR052"/>
        <s v="PR053"/>
        <s v="PR054"/>
        <s v="PR055"/>
        <s v="PR056"/>
        <s v="PR057"/>
        <s v="PR058"/>
        <s v="PR059"/>
        <s v="PR060"/>
      </sharedItems>
    </cacheField>
    <cacheField name="Produtos" numFmtId="0">
      <sharedItems count="25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</sharedItems>
    </cacheField>
    <cacheField name="Tamanho" numFmtId="0">
      <sharedItems containsMixedTypes="1" containsNumber="1" containsInteger="1" minValue="35" maxValue="38" count="8">
        <s v="P"/>
        <s v="M"/>
        <s v="G"/>
        <s v="Único"/>
        <n v="36"/>
        <n v="37"/>
        <n v="38"/>
        <n v="35"/>
      </sharedItems>
    </cacheField>
    <cacheField name="Categoria" numFmtId="0">
      <sharedItems count="3">
        <s v="Vestuário"/>
        <s v="Acessórios"/>
        <s v="Calçado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 count="36">
        <n v="65.900000000000006"/>
        <n v="69.900000000000006"/>
        <n v="70.900000000000006"/>
        <n v="145"/>
        <n v="259.89999999999998"/>
        <n v="39.9"/>
        <n v="85.9"/>
        <n v="89.9"/>
        <n v="92.9"/>
        <n v="44.9"/>
        <n v="46.9"/>
        <n v="48.9"/>
        <n v="42.5"/>
        <n v="25.9"/>
        <n v="29.9"/>
        <n v="32.9"/>
        <n v="49.9"/>
        <n v="299.89999999999998"/>
        <n v="302.89999999999998"/>
        <n v="300"/>
        <n v="249.9"/>
        <n v="349.9"/>
        <n v="120"/>
        <n v="255"/>
        <n v="245"/>
        <n v="250"/>
        <n v="91.4"/>
        <n v="93.5"/>
        <n v="140"/>
        <n v="142.9"/>
        <n v="146"/>
        <n v="70"/>
        <n v="54.9"/>
        <n v="72.5"/>
        <n v="289.89999999999998"/>
        <n v="180"/>
      </sharedItems>
    </cacheField>
  </cacheFields>
  <extLst>
    <ext xmlns:x14="http://schemas.microsoft.com/office/spreadsheetml/2009/9/main" uri="{725AE2AE-9491-48be-B2B4-4EB974FC3084}">
      <x14:pivotCacheDefinition pivotCacheId="18539576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68.97643865741" backgroundQuery="1" createdVersion="8" refreshedVersion="8" minRefreshableVersion="3" recordCount="0" supportSubquery="1" supportAdvancedDrill="1" xr:uid="{D696988D-668B-48A2-A401-8C9C744C6F3D}">
  <cacheSource type="external" connectionId="1"/>
  <cacheFields count="2">
    <cacheField name="[TB_Vendedores].[Vendedor].[Vendedor]" caption="Vendedor" numFmtId="0" hierarchy="21" level="1">
      <sharedItems count="5">
        <s v="Amanda"/>
        <s v="Bruno"/>
        <s v="Clara"/>
        <s v="João"/>
        <s v="Sarah"/>
      </sharedItems>
    </cacheField>
    <cacheField name="[Measures].[Soma de Total]" caption="Soma de Total" numFmtId="0" hierarchy="30" level="32767"/>
  </cacheFields>
  <cacheHierarchies count="33"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>
      <fieldsUsage count="2">
        <fieldUsage x="-1"/>
        <fieldUsage x="0"/>
      </fieldsUsage>
    </cacheHierarchy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3">
    <measureGroup name="TB_Produtos" caption="TB_Produtos"/>
    <measureGroup name="TB_Vendas" caption="TB_Vendas"/>
    <measureGroup name="TB_Vendedores" caption="TB_Vendedores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68.989881250003" backgroundQuery="1" createdVersion="8" refreshedVersion="8" minRefreshableVersion="3" recordCount="0" supportSubquery="1" supportAdvancedDrill="1" xr:uid="{7816A99C-CC69-4886-BE29-B5A0AA6DDB24}">
  <cacheSource type="external" connectionId="1"/>
  <cacheFields count="3">
    <cacheField name="[TB_Vendas].[Data (Mês)].[Data (Mês)]" caption="Data (Mês)" numFmtId="0" hierarchy="19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Qtd]" caption="Soma de Qtd" numFmtId="0" hierarchy="29" level="32767"/>
    <cacheField name="[Measures].[Soma de Total]" caption="Soma de Total" numFmtId="0" hierarchy="30" level="32767"/>
  </cacheFields>
  <cacheHierarchies count="33">
    <cacheHierarchy uniqueName="[TB_Produtos].[Código]" caption="Código" attribute="1" defaultMemberUniqueName="[TB_Produtos].[Código].[All]" allUniqueName="[TB_Produtos].[Código].[All]" dimensionUniqueName="[TB_Produtos]" displayFolder="" count="2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2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2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2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2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2" memberValueDatatype="5" unbalanced="0"/>
    <cacheHierarchy uniqueName="[TB_Vendas].[Nº]" caption="Nº" attribute="1" defaultMemberUniqueName="[TB_Vendas].[Nº].[All]" allUniqueName="[TB_Vendas].[Nº].[All]" dimensionUniqueName="[TB_Vendas]" displayFolder="" count="2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2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2" memberValueDatatype="130" unbalanced="0"/>
    <cacheHierarchy uniqueName="[TB_Vendas].[Qtd]" caption="Qtd" attribute="1" defaultMemberUniqueName="[TB_Vendas].[Qtd].[All]" allUniqueName="[TB_Vendas].[Qtd].[All]" dimensionUniqueName="[TB_Vendas]" displayFolder="" count="2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2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2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2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2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2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2" memberValueDatatype="5" unbalanced="0"/>
    <cacheHierarchy uniqueName="[TB_Vendas].[Total]" caption="Total" attribute="1" defaultMemberUniqueName="[TB_Vendas].[Total].[All]" allUniqueName="[TB_Vendas].[Total].[All]" dimensionUniqueName="[TB_Vendas]" displayFolder="" count="2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2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edores].[Código]" caption="Código" attribute="1" defaultMemberUniqueName="[TB_Vendedores].[Código].[All]" allUniqueName="[TB_Vendedores].[Código].[All]" dimensionUniqueName="[TB_Vendedores]" displayFolder="" count="2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2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2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2" memberValueDatatype="20" unbalanced="0" hidden="1"/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3">
    <measureGroup name="TB_Produtos" caption="TB_Produtos"/>
    <measureGroup name="TB_Vendas" caption="TB_Vendas"/>
    <measureGroup name="TB_Vendedores" caption="TB_Vendedores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68.984245486114" backgroundQuery="1" createdVersion="3" refreshedVersion="8" minRefreshableVersion="3" recordCount="0" supportSubquery="1" supportAdvancedDrill="1" xr:uid="{07B4E818-307C-43E5-BBFB-5E5BF6E4D7E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3"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__XL_Count TB_Vendas]" caption="__XL_Count TB_Vendas" measure="1" displayFolder="" measureGroup="TB_Vendas" count="0" hidden="1"/>
    <cacheHierarchy uniqueName="[Measures].[__XL_Count TB_Produtos]" caption="__XL_Count TB_Produtos" measure="1" displayFolder="" measureGroup="TB_Produtos" count="0" hidden="1"/>
    <cacheHierarchy uniqueName="[Measures].[__XL_Count TB_Vendedores]" caption="__XL_Count TB_Vendedores" measure="1" displayFolder="" measureGroup="TB_Vendedores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]" caption="Som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édia de Total]" caption="Médi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3275857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n v="48"/>
    <x v="0"/>
  </r>
  <r>
    <x v="1"/>
    <x v="0"/>
    <x v="1"/>
    <x v="0"/>
    <n v="17"/>
    <x v="1"/>
  </r>
  <r>
    <x v="2"/>
    <x v="0"/>
    <x v="2"/>
    <x v="0"/>
    <n v="25"/>
    <x v="2"/>
  </r>
  <r>
    <x v="3"/>
    <x v="1"/>
    <x v="3"/>
    <x v="1"/>
    <n v="36"/>
    <x v="3"/>
  </r>
  <r>
    <x v="4"/>
    <x v="2"/>
    <x v="3"/>
    <x v="1"/>
    <n v="21"/>
    <x v="4"/>
  </r>
  <r>
    <x v="5"/>
    <x v="3"/>
    <x v="3"/>
    <x v="1"/>
    <n v="23"/>
    <x v="5"/>
  </r>
  <r>
    <x v="6"/>
    <x v="4"/>
    <x v="0"/>
    <x v="0"/>
    <n v="24"/>
    <x v="6"/>
  </r>
  <r>
    <x v="7"/>
    <x v="4"/>
    <x v="1"/>
    <x v="0"/>
    <n v="35"/>
    <x v="7"/>
  </r>
  <r>
    <x v="8"/>
    <x v="4"/>
    <x v="2"/>
    <x v="0"/>
    <n v="47"/>
    <x v="8"/>
  </r>
  <r>
    <x v="9"/>
    <x v="5"/>
    <x v="0"/>
    <x v="0"/>
    <n v="42"/>
    <x v="9"/>
  </r>
  <r>
    <x v="10"/>
    <x v="5"/>
    <x v="1"/>
    <x v="0"/>
    <n v="32"/>
    <x v="10"/>
  </r>
  <r>
    <x v="11"/>
    <x v="5"/>
    <x v="2"/>
    <x v="0"/>
    <n v="45"/>
    <x v="11"/>
  </r>
  <r>
    <x v="12"/>
    <x v="6"/>
    <x v="0"/>
    <x v="0"/>
    <n v="19"/>
    <x v="5"/>
  </r>
  <r>
    <x v="13"/>
    <x v="6"/>
    <x v="1"/>
    <x v="0"/>
    <n v="37"/>
    <x v="5"/>
  </r>
  <r>
    <x v="14"/>
    <x v="6"/>
    <x v="2"/>
    <x v="0"/>
    <n v="16"/>
    <x v="12"/>
  </r>
  <r>
    <x v="15"/>
    <x v="7"/>
    <x v="0"/>
    <x v="0"/>
    <n v="43"/>
    <x v="13"/>
  </r>
  <r>
    <x v="16"/>
    <x v="8"/>
    <x v="1"/>
    <x v="0"/>
    <n v="46"/>
    <x v="14"/>
  </r>
  <r>
    <x v="17"/>
    <x v="8"/>
    <x v="2"/>
    <x v="0"/>
    <n v="0"/>
    <x v="15"/>
  </r>
  <r>
    <x v="18"/>
    <x v="9"/>
    <x v="3"/>
    <x v="1"/>
    <n v="2"/>
    <x v="16"/>
  </r>
  <r>
    <x v="19"/>
    <x v="10"/>
    <x v="0"/>
    <x v="0"/>
    <n v="34"/>
    <x v="17"/>
  </r>
  <r>
    <x v="20"/>
    <x v="10"/>
    <x v="1"/>
    <x v="0"/>
    <n v="34"/>
    <x v="18"/>
  </r>
  <r>
    <x v="21"/>
    <x v="10"/>
    <x v="2"/>
    <x v="0"/>
    <n v="35"/>
    <x v="19"/>
  </r>
  <r>
    <x v="22"/>
    <x v="11"/>
    <x v="0"/>
    <x v="0"/>
    <n v="49"/>
    <x v="20"/>
  </r>
  <r>
    <x v="23"/>
    <x v="11"/>
    <x v="1"/>
    <x v="0"/>
    <n v="16"/>
    <x v="4"/>
  </r>
  <r>
    <x v="24"/>
    <x v="11"/>
    <x v="2"/>
    <x v="0"/>
    <n v="41"/>
    <x v="17"/>
  </r>
  <r>
    <x v="25"/>
    <x v="12"/>
    <x v="3"/>
    <x v="1"/>
    <n v="32"/>
    <x v="21"/>
  </r>
  <r>
    <x v="26"/>
    <x v="13"/>
    <x v="3"/>
    <x v="1"/>
    <n v="45"/>
    <x v="22"/>
  </r>
  <r>
    <x v="27"/>
    <x v="14"/>
    <x v="4"/>
    <x v="2"/>
    <n v="37"/>
    <x v="20"/>
  </r>
  <r>
    <x v="28"/>
    <x v="14"/>
    <x v="5"/>
    <x v="2"/>
    <n v="41"/>
    <x v="23"/>
  </r>
  <r>
    <x v="29"/>
    <x v="14"/>
    <x v="6"/>
    <x v="2"/>
    <n v="30"/>
    <x v="4"/>
  </r>
  <r>
    <x v="30"/>
    <x v="15"/>
    <x v="4"/>
    <x v="2"/>
    <n v="27"/>
    <x v="24"/>
  </r>
  <r>
    <x v="31"/>
    <x v="15"/>
    <x v="5"/>
    <x v="2"/>
    <n v="41"/>
    <x v="25"/>
  </r>
  <r>
    <x v="32"/>
    <x v="15"/>
    <x v="6"/>
    <x v="2"/>
    <n v="43"/>
    <x v="4"/>
  </r>
  <r>
    <x v="33"/>
    <x v="16"/>
    <x v="0"/>
    <x v="0"/>
    <n v="43"/>
    <x v="7"/>
  </r>
  <r>
    <x v="34"/>
    <x v="16"/>
    <x v="1"/>
    <x v="0"/>
    <n v="18"/>
    <x v="26"/>
  </r>
  <r>
    <x v="35"/>
    <x v="16"/>
    <x v="2"/>
    <x v="0"/>
    <n v="45"/>
    <x v="27"/>
  </r>
  <r>
    <x v="36"/>
    <x v="17"/>
    <x v="0"/>
    <x v="0"/>
    <n v="34"/>
    <x v="28"/>
  </r>
  <r>
    <x v="37"/>
    <x v="17"/>
    <x v="1"/>
    <x v="0"/>
    <n v="47"/>
    <x v="29"/>
  </r>
  <r>
    <x v="38"/>
    <x v="17"/>
    <x v="2"/>
    <x v="0"/>
    <n v="50"/>
    <x v="30"/>
  </r>
  <r>
    <x v="39"/>
    <x v="18"/>
    <x v="0"/>
    <x v="0"/>
    <n v="16"/>
    <x v="31"/>
  </r>
  <r>
    <x v="40"/>
    <x v="18"/>
    <x v="1"/>
    <x v="0"/>
    <n v="21"/>
    <x v="32"/>
  </r>
  <r>
    <x v="41"/>
    <x v="18"/>
    <x v="2"/>
    <x v="0"/>
    <n v="43"/>
    <x v="32"/>
  </r>
  <r>
    <x v="42"/>
    <x v="19"/>
    <x v="0"/>
    <x v="0"/>
    <n v="43"/>
    <x v="33"/>
  </r>
  <r>
    <x v="43"/>
    <x v="19"/>
    <x v="1"/>
    <x v="0"/>
    <n v="41"/>
    <x v="33"/>
  </r>
  <r>
    <x v="44"/>
    <x v="19"/>
    <x v="2"/>
    <x v="0"/>
    <n v="49"/>
    <x v="33"/>
  </r>
  <r>
    <x v="45"/>
    <x v="20"/>
    <x v="0"/>
    <x v="0"/>
    <n v="15"/>
    <x v="34"/>
  </r>
  <r>
    <x v="46"/>
    <x v="20"/>
    <x v="1"/>
    <x v="0"/>
    <n v="10"/>
    <x v="34"/>
  </r>
  <r>
    <x v="47"/>
    <x v="20"/>
    <x v="2"/>
    <x v="0"/>
    <n v="21"/>
    <x v="34"/>
  </r>
  <r>
    <x v="48"/>
    <x v="21"/>
    <x v="0"/>
    <x v="0"/>
    <n v="8"/>
    <x v="15"/>
  </r>
  <r>
    <x v="49"/>
    <x v="21"/>
    <x v="1"/>
    <x v="0"/>
    <n v="42"/>
    <x v="15"/>
  </r>
  <r>
    <x v="50"/>
    <x v="21"/>
    <x v="2"/>
    <x v="0"/>
    <n v="48"/>
    <x v="15"/>
  </r>
  <r>
    <x v="51"/>
    <x v="22"/>
    <x v="0"/>
    <x v="0"/>
    <n v="35"/>
    <x v="16"/>
  </r>
  <r>
    <x v="52"/>
    <x v="22"/>
    <x v="1"/>
    <x v="0"/>
    <n v="40"/>
    <x v="16"/>
  </r>
  <r>
    <x v="53"/>
    <x v="22"/>
    <x v="2"/>
    <x v="0"/>
    <n v="18"/>
    <x v="16"/>
  </r>
  <r>
    <x v="54"/>
    <x v="23"/>
    <x v="7"/>
    <x v="2"/>
    <n v="48"/>
    <x v="7"/>
  </r>
  <r>
    <x v="55"/>
    <x v="23"/>
    <x v="4"/>
    <x v="2"/>
    <n v="38"/>
    <x v="7"/>
  </r>
  <r>
    <x v="56"/>
    <x v="23"/>
    <x v="5"/>
    <x v="2"/>
    <n v="45"/>
    <x v="7"/>
  </r>
  <r>
    <x v="57"/>
    <x v="24"/>
    <x v="0"/>
    <x v="0"/>
    <n v="40"/>
    <x v="35"/>
  </r>
  <r>
    <x v="58"/>
    <x v="24"/>
    <x v="1"/>
    <x v="0"/>
    <n v="35"/>
    <x v="35"/>
  </r>
  <r>
    <x v="59"/>
    <x v="24"/>
    <x v="2"/>
    <x v="0"/>
    <n v="35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56AE9-9F0D-4CC8-9C85-17A92C4944F1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E0A59-D9F9-459D-B370-D51CAA87FA98}" name="TB_DN_Produto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3:C13" firstHeaderRow="0" firstDataRow="1" firstDataCol="1"/>
  <pivotFields count="6">
    <pivotField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howAll="0">
      <items count="9">
        <item x="7"/>
        <item x="4"/>
        <item x="5"/>
        <item x="6"/>
        <item x="2"/>
        <item x="1"/>
        <item x="0"/>
        <item x="3"/>
        <item t="default"/>
      </items>
    </pivotField>
    <pivotField axis="axisRow" showAll="0">
      <items count="4">
        <item x="1"/>
        <item sd="0" x="2"/>
        <item sd="0" x="0"/>
        <item t="default"/>
      </items>
    </pivotField>
    <pivotField dataField="1" showAll="0"/>
    <pivotField dataField="1" showAll="0">
      <items count="37">
        <item x="13"/>
        <item x="14"/>
        <item x="15"/>
        <item x="5"/>
        <item x="12"/>
        <item x="9"/>
        <item x="10"/>
        <item x="11"/>
        <item x="16"/>
        <item x="32"/>
        <item x="0"/>
        <item x="1"/>
        <item x="31"/>
        <item x="2"/>
        <item x="33"/>
        <item x="6"/>
        <item x="7"/>
        <item x="26"/>
        <item x="8"/>
        <item x="27"/>
        <item x="22"/>
        <item x="28"/>
        <item x="29"/>
        <item x="3"/>
        <item x="30"/>
        <item x="35"/>
        <item x="24"/>
        <item x="20"/>
        <item x="25"/>
        <item x="23"/>
        <item x="4"/>
        <item x="34"/>
        <item x="17"/>
        <item x="19"/>
        <item x="18"/>
        <item x="21"/>
        <item t="default"/>
      </items>
    </pivotField>
  </pivotFields>
  <rowFields count="2">
    <field x="3"/>
    <field x="1"/>
  </rowFields>
  <rowItems count="10">
    <i>
      <x/>
    </i>
    <i r="1">
      <x v="1"/>
    </i>
    <i r="1">
      <x v="2"/>
    </i>
    <i r="1">
      <x v="3"/>
    </i>
    <i r="1">
      <x v="12"/>
    </i>
    <i r="1">
      <x v="16"/>
    </i>
    <i r="1">
      <x v="17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44"/>
  </dataFields>
  <formats count="7">
    <format dxfId="16">
      <pivotArea type="origin" dataOnly="0" labelOnly="1" outline="0" fieldPosition="0"/>
    </format>
    <format dxfId="15">
      <pivotArea field="3" type="button" dataOnly="0" labelOnly="1" outline="0" axis="axisRow" fieldPosition="0"/>
    </format>
    <format dxfId="14">
      <pivotArea type="topRight" dataOnly="0" labelOnly="1" outline="0" fieldPosition="0"/>
    </format>
    <format dxfId="13">
      <pivotArea field="1" type="button" dataOnly="0" labelOnly="1" outline="0" axis="axisRow" fieldPosition="1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AEBCA-9301-4D82-8D66-2AC8D50F3D41}" name="TB_DN_Vendas" cacheId="330" applyNumberFormats="0" applyBorderFormats="0" applyFontFormats="0" applyPatternFormats="0" applyAlignmentFormats="0" applyWidthHeightFormats="1" dataCaption="Valores" tag="b9a7ecbe-2c03-48c4-848c-ccfff4546219" updatedVersion="8" minRefreshableVersion="5" useAutoFormatting="1" subtotalHiddenItems="1" itemPrintTitles="1" createdVersion="8" indent="0" outline="1" outlineData="1" multipleFieldFilters="0" chartFormat="5">
  <location ref="A3:C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1" baseField="0" baseItem="0"/>
    <dataField name="Soma de Total" fld="2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Medium5" showRowHeaders="1" showColHeaders="1" showRowStripes="1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90EE1-4C23-43D9-ADB6-0AECC8AEF33C}" name="TB_DN_Vendedores" cacheId="275" applyNumberFormats="0" applyBorderFormats="0" applyFontFormats="0" applyPatternFormats="0" applyAlignmentFormats="0" applyWidthHeightFormats="1" dataCaption="Valores" tag="4bd229ef-fa55-4346-a60b-c31c86a4d8fa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1" baseField="0" baseItem="0" numFmtId="4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FC8C2FB8-984C-4A41-B56C-5A5C93332B55}" sourceName="Categoria">
  <pivotTables>
    <pivotTable tabId="29" name="TB_DN_Produtos"/>
    <pivotTable tabId="29" name="Tabela dinâmica1"/>
  </pivotTables>
  <data>
    <tabular pivotCacheId="185395764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AF9E6AE8-84CB-4040-95F3-5F9E4CE66760}" cache="SegmentaçãodeDados_Categoria1" caption="Categoria" columnCount="3" style="SlicerStyleOther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37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36"/>
    <tableColumn id="2" xr3:uid="{E100D4E2-C3A0-43FF-A1D9-90A4BC2A9918}" name="Produtos"/>
    <tableColumn id="3" xr3:uid="{2EF7FEE0-6B6F-4534-86A0-46B6555B7BEF}" name="Tamanho" dataDxfId="35"/>
    <tableColumn id="4" xr3:uid="{4435A4B8-E7F0-4D66-A4F8-6A9FEAA36D5A}" name="Categoria" dataDxfId="34"/>
    <tableColumn id="6" xr3:uid="{15F9CACC-A558-4A20-80CF-C2ADA2603221}" name="Estoque" dataDxfId="33"/>
    <tableColumn id="5" xr3:uid="{CA8AD0DE-58EC-4839-85FB-1DD75DA28087}" name="Preço Unitário" dataDxfId="3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32490-23C1-4DAC-A34B-78B979DAE740}" name="TB_Vendedores" displayName="TB_Vendedores" ref="B4:E9" totalsRowShown="0" headerRowDxfId="6" dataDxfId="1" headerRowBorderDxfId="8" tableBorderDxfId="9" totalsRowBorderDxfId="7" headerRowCellStyle="Cabeçalho Meteora">
  <autoFilter ref="B4:E9" xr:uid="{5E832490-23C1-4DAC-A34B-78B979DAE740}">
    <filterColumn colId="0" hiddenButton="1"/>
    <filterColumn colId="1" hiddenButton="1"/>
    <filterColumn colId="2" hiddenButton="1"/>
    <filterColumn colId="3" hiddenButton="1"/>
  </autoFilter>
  <tableColumns count="4">
    <tableColumn id="1" xr3:uid="{ACE2B667-053B-4FBA-8890-CC24A9E4250E}" name="Código" dataDxfId="5"/>
    <tableColumn id="2" xr3:uid="{EA0A1AD4-2F43-464B-9B7D-C229EDBEE756}" name="Vendedor" dataDxfId="4"/>
    <tableColumn id="3" xr3:uid="{41B59A20-5399-42BB-A483-F3EAF9E60968}" name="Cidade" dataDxfId="3"/>
    <tableColumn id="4" xr3:uid="{6746079D-F274-4BF7-ACE2-DE3181C32418}" name="Desc. Máximo" dataDxfId="2" dataCellStyle="Porcentage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31" dataDxfId="30" headerRowCellStyle="Cabeçalho Meteora">
  <autoFilter ref="A4:M86" xr:uid="{AD739091-30BD-4C30-BDDA-7504C0C4B6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7" xr3:uid="{5E8DE7C3-CDB6-4314-A5CC-C44D3C21973F}" name="Nº" dataDxfId="29">
      <calculatedColumnFormula>MONTH(TB_Vendas[[#This Row],[Data]])</calculatedColumnFormula>
    </tableColumn>
    <tableColumn id="1" xr3:uid="{43632F1F-6978-4CE7-BB13-7CCE587D6821}" name="Data" dataDxfId="28"/>
    <tableColumn id="12" xr3:uid="{205A55AB-454E-4288-AE23-042C3C399E7A}" name="Código" dataDxfId="27"/>
    <tableColumn id="16" xr3:uid="{059789B1-50A2-47F3-849D-D1EE26B94731}" name="Categoria" dataDxfId="26">
      <calculatedColumnFormula>_xlfn.XLOOKUP(TB_Vendas[[#This Row],[Código]],TB_Produtos[Código],TB_Produtos[Categoria])</calculatedColumnFormula>
    </tableColumn>
    <tableColumn id="5" xr3:uid="{7DC2ADED-AF8A-4BC8-A38E-FEF676FE49C9}" name="Qtd" dataDxfId="25"/>
    <tableColumn id="9" xr3:uid="{05B7315B-2774-41BC-AFEC-4A19E452D6C7}" name="Preço Unitário" dataDxfId="24">
      <calculatedColumnFormula>VLOOKUP(TB_Vendas[[#This Row],[Código]],Produtos!$B$6:$G$66,6,0)</calculatedColumnFormula>
    </tableColumn>
    <tableColumn id="18" xr3:uid="{152BED38-8D5F-4FAA-8C38-58740E2353E5}" name="Indice" dataDxfId="23">
      <calculatedColumnFormula>_xlfn.XMATCH(TB_Vendas[[#This Row],[Categoria]],Desc_Categorias,0)</calculatedColumnFormula>
    </tableColumn>
    <tableColumn id="17" xr3:uid="{C4E78734-94D7-4D31-B07D-5609B855AC0F}" name="Desconto _x000a_(Passo a Passo)" dataDxfId="22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21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20" dataCellStyle="Porcentagem">
      <calculatedColumnFormula>_xlfn.XLOOKUP(TB_Vendas[[#This Row],[Vendedor]],Vendedores!$B$5:$B$9,Vendedores!$E$5:$E$9)</calculatedColumnFormula>
    </tableColumn>
    <tableColumn id="4" xr3:uid="{0BDC1FEC-277F-4592-AE4E-EB3C0FEF2F34}" name="Desconto Final" dataDxfId="19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18">
      <calculatedColumnFormula>TB_Vendas[[#This Row],[Preço Unitário]]*TB_Vendas[[#This Row],[Qtd]]</calculatedColumnFormula>
    </tableColumn>
    <tableColumn id="8" xr3:uid="{192FEBCA-1287-48A6-9BE6-69528F71C305}" name="Vendedor" dataDxf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" xr10:uid="{C6AFDD74-27D6-46C5-8CC7-F6AD92F8B142}" sourceName="[TB_Vendas].[Data]">
  <pivotTables>
    <pivotTable tabId="31" name="TB_DN_Vendas"/>
  </pivotTables>
  <state minimalRefreshVersion="6" lastRefreshVersion="6" pivotCacheId="1632758570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4ACCF307-FED1-4263-AF95-CAFDE2E9A48E}" cache="Timeline_Data" caption="Data" level="2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4.4" zeroHeight="1"/>
  <cols>
    <col min="1" max="12" width="8.88671875" customWidth="1"/>
    <col min="13" max="16384" width="8.88671875" hidden="1"/>
  </cols>
  <sheetData>
    <row r="1" spans="1:1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selection activeCell="C18" sqref="C18"/>
    </sheetView>
  </sheetViews>
  <sheetFormatPr defaultColWidth="0" defaultRowHeight="14.4"/>
  <cols>
    <col min="1" max="1" width="8.44140625" customWidth="1"/>
    <col min="2" max="2" width="18.6640625" customWidth="1"/>
    <col min="3" max="3" width="21.33203125" style="1" customWidth="1"/>
    <col min="4" max="4" width="14" bestFit="1" customWidth="1"/>
    <col min="5" max="5" width="17.109375" style="1" bestFit="1" customWidth="1"/>
    <col min="6" max="6" width="13.109375" customWidth="1"/>
    <col min="7" max="7" width="22.44140625" customWidth="1"/>
    <col min="8" max="8" width="8.88671875" customWidth="1"/>
    <col min="9" max="16384" width="8.88671875" hidden="1"/>
  </cols>
  <sheetData>
    <row r="1" spans="1:9" s="13" customFormat="1" ht="40.200000000000003" customHeight="1">
      <c r="A1" s="16"/>
      <c r="B1" s="20" t="s">
        <v>120</v>
      </c>
      <c r="C1" s="20"/>
      <c r="D1" s="20"/>
      <c r="E1" s="54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5" customHeight="1">
      <c r="A5" s="15"/>
      <c r="B5" s="15"/>
      <c r="C5" s="15"/>
      <c r="D5" s="15"/>
      <c r="E5" s="15"/>
      <c r="F5" s="15"/>
    </row>
    <row r="6" spans="1:9" s="1" customFormat="1" ht="36" customHeight="1">
      <c r="B6" s="55" t="s">
        <v>30</v>
      </c>
      <c r="C6" s="55" t="s">
        <v>0</v>
      </c>
      <c r="D6" s="55" t="s">
        <v>1</v>
      </c>
      <c r="E6" s="55" t="s">
        <v>10</v>
      </c>
      <c r="F6" s="55" t="s">
        <v>75</v>
      </c>
      <c r="G6" s="55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s="1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s="1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s="1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s="1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s="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s="1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s="1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s="1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s="1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s="1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s="1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s="1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s="1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s="1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s="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s="1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s="1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s="1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s="1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s="1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s="1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s="1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s="1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s="1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s="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s="1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s="1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s="1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s="1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s="1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s="1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s="1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s="1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s="1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s="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s="1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s="1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s="1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s="1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s="1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s="1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s="1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s="1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s="1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s="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s="1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s="1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s="1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s="1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s="1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s="1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s="1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s="1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s="1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s="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s="1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s="1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s="1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s="1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s="1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 activeCell="D6" sqref="D6"/>
    </sheetView>
  </sheetViews>
  <sheetFormatPr defaultRowHeight="14.4"/>
  <cols>
    <col min="1" max="1" width="14.6640625" bestFit="1" customWidth="1"/>
    <col min="2" max="2" width="21.44140625" customWidth="1"/>
    <col min="3" max="3" width="25.6640625" customWidth="1"/>
    <col min="4" max="4" width="24.33203125" customWidth="1"/>
    <col min="5" max="5" width="22.44140625" customWidth="1"/>
    <col min="6" max="6" width="6.6640625" customWidth="1"/>
  </cols>
  <sheetData>
    <row r="1" spans="1:5" s="13" customFormat="1" ht="40.200000000000003" customHeight="1">
      <c r="A1" s="16"/>
      <c r="B1" s="62" t="s">
        <v>82</v>
      </c>
      <c r="C1" s="62"/>
      <c r="D1" s="18"/>
      <c r="E1" s="18"/>
    </row>
    <row r="2" spans="1:5" s="14" customFormat="1" ht="4.5" customHeight="1">
      <c r="A2" s="17"/>
      <c r="B2" s="17"/>
    </row>
    <row r="3" spans="1:5" ht="4.5" customHeight="1">
      <c r="A3" s="15"/>
      <c r="B3" s="15"/>
    </row>
    <row r="4" spans="1:5" s="24" customFormat="1" ht="36" customHeight="1">
      <c r="B4" s="98" t="s">
        <v>30</v>
      </c>
      <c r="C4" s="99" t="s">
        <v>72</v>
      </c>
      <c r="D4" s="99" t="s">
        <v>132</v>
      </c>
      <c r="E4" s="100" t="s">
        <v>133</v>
      </c>
    </row>
    <row r="5" spans="1:5" ht="22.5" customHeight="1">
      <c r="B5" s="101" t="s">
        <v>113</v>
      </c>
      <c r="C5" s="102" t="s">
        <v>71</v>
      </c>
      <c r="D5" s="102" t="s">
        <v>134</v>
      </c>
      <c r="E5" s="103">
        <v>0.2</v>
      </c>
    </row>
    <row r="6" spans="1:5" ht="22.5" customHeight="1">
      <c r="B6" s="101" t="s">
        <v>114</v>
      </c>
      <c r="C6" s="102" t="s">
        <v>73</v>
      </c>
      <c r="D6" s="102" t="s">
        <v>135</v>
      </c>
      <c r="E6" s="103">
        <v>0.15</v>
      </c>
    </row>
    <row r="7" spans="1:5" ht="22.5" customHeight="1">
      <c r="B7" s="101" t="s">
        <v>115</v>
      </c>
      <c r="C7" s="102" t="s">
        <v>70</v>
      </c>
      <c r="D7" s="102" t="s">
        <v>136</v>
      </c>
      <c r="E7" s="103">
        <v>0.1</v>
      </c>
    </row>
    <row r="8" spans="1:5" ht="22.5" customHeight="1">
      <c r="B8" s="101" t="s">
        <v>116</v>
      </c>
      <c r="C8" s="102" t="s">
        <v>118</v>
      </c>
      <c r="D8" s="102" t="s">
        <v>137</v>
      </c>
      <c r="E8" s="103">
        <v>0.2</v>
      </c>
    </row>
    <row r="9" spans="1:5" ht="22.5" customHeight="1">
      <c r="B9" s="104" t="s">
        <v>117</v>
      </c>
      <c r="C9" s="105" t="s">
        <v>119</v>
      </c>
      <c r="D9" s="105" t="s">
        <v>138</v>
      </c>
      <c r="E9" s="106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2" activePane="bottomLeft" state="frozen"/>
      <selection activeCell="B1" sqref="B1"/>
      <selection pane="bottomLeft" activeCell="H16" sqref="H16"/>
    </sheetView>
  </sheetViews>
  <sheetFormatPr defaultRowHeight="14.4"/>
  <cols>
    <col min="1" max="1" width="8.88671875" style="1" hidden="1" customWidth="1"/>
    <col min="2" max="2" width="11.5546875" style="1" bestFit="1" customWidth="1"/>
    <col min="3" max="3" width="11.5546875" style="1" customWidth="1"/>
    <col min="4" max="4" width="16.6640625" style="1" customWidth="1"/>
    <col min="5" max="5" width="10.109375" bestFit="1" customWidth="1"/>
    <col min="6" max="6" width="17.21875" customWidth="1"/>
    <col min="7" max="7" width="13.109375" bestFit="1" customWidth="1"/>
    <col min="8" max="9" width="16" customWidth="1"/>
    <col min="10" max="11" width="17" customWidth="1"/>
    <col min="12" max="12" width="20.33203125" customWidth="1"/>
    <col min="13" max="13" width="17" bestFit="1" customWidth="1"/>
  </cols>
  <sheetData>
    <row r="1" spans="1:13" s="13" customFormat="1" ht="40.200000000000003" customHeight="1">
      <c r="A1" s="16"/>
      <c r="B1" s="20"/>
      <c r="C1" s="20" t="s">
        <v>121</v>
      </c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40" customFormat="1" ht="36">
      <c r="A4" s="37" t="s">
        <v>112</v>
      </c>
      <c r="B4" s="38" t="s">
        <v>74</v>
      </c>
      <c r="C4" s="38" t="s">
        <v>30</v>
      </c>
      <c r="D4" s="38" t="s">
        <v>10</v>
      </c>
      <c r="E4" s="38" t="s">
        <v>15</v>
      </c>
      <c r="F4" s="38" t="s">
        <v>11</v>
      </c>
      <c r="G4" s="38" t="s">
        <v>155</v>
      </c>
      <c r="H4" s="41" t="s">
        <v>156</v>
      </c>
      <c r="I4" s="41" t="s">
        <v>157</v>
      </c>
      <c r="J4" s="41" t="s">
        <v>158</v>
      </c>
      <c r="K4" s="38" t="s">
        <v>159</v>
      </c>
      <c r="L4" s="39" t="s">
        <v>16</v>
      </c>
      <c r="M4" s="38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31">
        <f>VLOOKUP(TB_Vendas[[#This Row],[Qtd]],Desc_TabelaToda,TB_Vendas[[#This Row],[Indice]],TRUE)</f>
        <v>0</v>
      </c>
      <c r="I5" s="31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31">
        <f>_xlfn.XLOOKUP(TB_Vendas[[#This Row],[Vendedor]],Vendedores!$B$5:$B$9,Vendedores!$E$5:$E$9)</f>
        <v>0.15</v>
      </c>
      <c r="K5" s="31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31">
        <f>VLOOKUP(TB_Vendas[[#This Row],[Qtd]],Desc_TabelaToda,TB_Vendas[[#This Row],[Indice]],TRUE)</f>
        <v>0</v>
      </c>
      <c r="I6" s="31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31">
        <f>_xlfn.XLOOKUP(TB_Vendas[[#This Row],[Vendedor]],Vendedores!$B$5:$B$9,Vendedores!$E$5:$E$9)</f>
        <v>0.15</v>
      </c>
      <c r="K6" s="31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31">
        <f>VLOOKUP(TB_Vendas[[#This Row],[Qtd]],Desc_TabelaToda,TB_Vendas[[#This Row],[Indice]],TRUE)</f>
        <v>0.15</v>
      </c>
      <c r="I7" s="31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31">
        <f>_xlfn.XLOOKUP(TB_Vendas[[#This Row],[Vendedor]],Vendedores!$B$5:$B$9,Vendedores!$E$5:$E$9)</f>
        <v>0.2</v>
      </c>
      <c r="K7" s="31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31">
        <f>VLOOKUP(TB_Vendas[[#This Row],[Qtd]],Desc_TabelaToda,TB_Vendas[[#This Row],[Indice]],TRUE)</f>
        <v>0.1</v>
      </c>
      <c r="I8" s="31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31">
        <f>_xlfn.XLOOKUP(TB_Vendas[[#This Row],[Vendedor]],Vendedores!$B$5:$B$9,Vendedores!$E$5:$E$9)</f>
        <v>0.15</v>
      </c>
      <c r="K8" s="31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31">
        <f>VLOOKUP(TB_Vendas[[#This Row],[Qtd]],Desc_TabelaToda,TB_Vendas[[#This Row],[Indice]],TRUE)</f>
        <v>0.1</v>
      </c>
      <c r="I9" s="31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31">
        <f>_xlfn.XLOOKUP(TB_Vendas[[#This Row],[Vendedor]],Vendedores!$B$5:$B$9,Vendedores!$E$5:$E$9)</f>
        <v>0.15</v>
      </c>
      <c r="K9" s="31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31">
        <f>VLOOKUP(TB_Vendas[[#This Row],[Qtd]],Desc_TabelaToda,TB_Vendas[[#This Row],[Indice]],TRUE)</f>
        <v>0.1</v>
      </c>
      <c r="I10" s="31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31">
        <f>_xlfn.XLOOKUP(TB_Vendas[[#This Row],[Vendedor]],Vendedores!$B$5:$B$9,Vendedores!$E$5:$E$9)</f>
        <v>0.15</v>
      </c>
      <c r="K10" s="31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31">
        <f>VLOOKUP(TB_Vendas[[#This Row],[Qtd]],Desc_TabelaToda,TB_Vendas[[#This Row],[Indice]],TRUE)</f>
        <v>0.1</v>
      </c>
      <c r="I11" s="31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31">
        <f>_xlfn.XLOOKUP(TB_Vendas[[#This Row],[Vendedor]],Vendedores!$B$5:$B$9,Vendedores!$E$5:$E$9)</f>
        <v>0.1</v>
      </c>
      <c r="K11" s="31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31">
        <f>VLOOKUP(TB_Vendas[[#This Row],[Qtd]],Desc_TabelaToda,TB_Vendas[[#This Row],[Indice]],TRUE)</f>
        <v>0.15</v>
      </c>
      <c r="I12" s="31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31">
        <f>_xlfn.XLOOKUP(TB_Vendas[[#This Row],[Vendedor]],Vendedores!$B$5:$B$9,Vendedores!$E$5:$E$9)</f>
        <v>0.1</v>
      </c>
      <c r="K12" s="31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31">
        <f>VLOOKUP(TB_Vendas[[#This Row],[Qtd]],Desc_TabelaToda,TB_Vendas[[#This Row],[Indice]],TRUE)</f>
        <v>0.1</v>
      </c>
      <c r="I13" s="31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31">
        <f>_xlfn.XLOOKUP(TB_Vendas[[#This Row],[Vendedor]],Vendedores!$B$5:$B$9,Vendedores!$E$5:$E$9)</f>
        <v>0.15</v>
      </c>
      <c r="K13" s="31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31">
        <f>VLOOKUP(TB_Vendas[[#This Row],[Qtd]],Desc_TabelaToda,TB_Vendas[[#This Row],[Indice]],TRUE)</f>
        <v>0.1</v>
      </c>
      <c r="I14" s="31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31">
        <f>_xlfn.XLOOKUP(TB_Vendas[[#This Row],[Vendedor]],Vendedores!$B$5:$B$9,Vendedores!$E$5:$E$9)</f>
        <v>0.15</v>
      </c>
      <c r="K14" s="31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31">
        <f>VLOOKUP(TB_Vendas[[#This Row],[Qtd]],Desc_TabelaToda,TB_Vendas[[#This Row],[Indice]],TRUE)</f>
        <v>0.1</v>
      </c>
      <c r="I15" s="31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31">
        <f>_xlfn.XLOOKUP(TB_Vendas[[#This Row],[Vendedor]],Vendedores!$B$5:$B$9,Vendedores!$E$5:$E$9)</f>
        <v>0.2</v>
      </c>
      <c r="K15" s="31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31">
        <f>VLOOKUP(TB_Vendas[[#This Row],[Qtd]],Desc_TabelaToda,TB_Vendas[[#This Row],[Indice]],TRUE)</f>
        <v>0.1</v>
      </c>
      <c r="I16" s="31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31">
        <f>_xlfn.XLOOKUP(TB_Vendas[[#This Row],[Vendedor]],Vendedores!$B$5:$B$9,Vendedores!$E$5:$E$9)</f>
        <v>0.1</v>
      </c>
      <c r="K16" s="31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31">
        <f>VLOOKUP(TB_Vendas[[#This Row],[Qtd]],Desc_TabelaToda,TB_Vendas[[#This Row],[Indice]],TRUE)</f>
        <v>0.15</v>
      </c>
      <c r="I17" s="31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31">
        <f>_xlfn.XLOOKUP(TB_Vendas[[#This Row],[Vendedor]],Vendedores!$B$5:$B$9,Vendedores!$E$5:$E$9)</f>
        <v>0.2</v>
      </c>
      <c r="K17" s="31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31">
        <f>VLOOKUP(TB_Vendas[[#This Row],[Qtd]],Desc_TabelaToda,TB_Vendas[[#This Row],[Indice]],TRUE)</f>
        <v>0</v>
      </c>
      <c r="I18" s="31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31">
        <f>_xlfn.XLOOKUP(TB_Vendas[[#This Row],[Vendedor]],Vendedores!$B$5:$B$9,Vendedores!$E$5:$E$9)</f>
        <v>0.2</v>
      </c>
      <c r="K18" s="31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31">
        <f>VLOOKUP(TB_Vendas[[#This Row],[Qtd]],Desc_TabelaToda,TB_Vendas[[#This Row],[Indice]],TRUE)</f>
        <v>0.15</v>
      </c>
      <c r="I19" s="31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31">
        <f>_xlfn.XLOOKUP(TB_Vendas[[#This Row],[Vendedor]],Vendedores!$B$5:$B$9,Vendedores!$E$5:$E$9)</f>
        <v>0.2</v>
      </c>
      <c r="K19" s="31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31">
        <f>VLOOKUP(TB_Vendas[[#This Row],[Qtd]],Desc_TabelaToda,TB_Vendas[[#This Row],[Indice]],TRUE)</f>
        <v>0.2</v>
      </c>
      <c r="I20" s="31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31">
        <f>_xlfn.XLOOKUP(TB_Vendas[[#This Row],[Vendedor]],Vendedores!$B$5:$B$9,Vendedores!$E$5:$E$9)</f>
        <v>0.2</v>
      </c>
      <c r="K20" s="31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31">
        <f>VLOOKUP(TB_Vendas[[#This Row],[Qtd]],Desc_TabelaToda,TB_Vendas[[#This Row],[Indice]],TRUE)</f>
        <v>0.2</v>
      </c>
      <c r="I21" s="31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31">
        <f>_xlfn.XLOOKUP(TB_Vendas[[#This Row],[Vendedor]],Vendedores!$B$5:$B$9,Vendedores!$E$5:$E$9)</f>
        <v>0.15</v>
      </c>
      <c r="K21" s="31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31">
        <f>VLOOKUP(TB_Vendas[[#This Row],[Qtd]],Desc_TabelaToda,TB_Vendas[[#This Row],[Indice]],TRUE)</f>
        <v>0.15</v>
      </c>
      <c r="I22" s="31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31">
        <f>_xlfn.XLOOKUP(TB_Vendas[[#This Row],[Vendedor]],Vendedores!$B$5:$B$9,Vendedores!$E$5:$E$9)</f>
        <v>0.2</v>
      </c>
      <c r="K22" s="31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31">
        <f>VLOOKUP(TB_Vendas[[#This Row],[Qtd]],Desc_TabelaToda,TB_Vendas[[#This Row],[Indice]],TRUE)</f>
        <v>0.15</v>
      </c>
      <c r="I23" s="31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31">
        <f>_xlfn.XLOOKUP(TB_Vendas[[#This Row],[Vendedor]],Vendedores!$B$5:$B$9,Vendedores!$E$5:$E$9)</f>
        <v>0.2</v>
      </c>
      <c r="K23" s="31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31">
        <f>VLOOKUP(TB_Vendas[[#This Row],[Qtd]],Desc_TabelaToda,TB_Vendas[[#This Row],[Indice]],TRUE)</f>
        <v>0.1</v>
      </c>
      <c r="I24" s="31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31">
        <f>_xlfn.XLOOKUP(TB_Vendas[[#This Row],[Vendedor]],Vendedores!$B$5:$B$9,Vendedores!$E$5:$E$9)</f>
        <v>0.2</v>
      </c>
      <c r="K24" s="31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31">
        <f>VLOOKUP(TB_Vendas[[#This Row],[Qtd]],Desc_TabelaToda,TB_Vendas[[#This Row],[Indice]],TRUE)</f>
        <v>0.2</v>
      </c>
      <c r="I25" s="31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31">
        <f>_xlfn.XLOOKUP(TB_Vendas[[#This Row],[Vendedor]],Vendedores!$B$5:$B$9,Vendedores!$E$5:$E$9)</f>
        <v>0.1</v>
      </c>
      <c r="K25" s="31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31">
        <f>VLOOKUP(TB_Vendas[[#This Row],[Qtd]],Desc_TabelaToda,TB_Vendas[[#This Row],[Indice]],TRUE)</f>
        <v>0.15</v>
      </c>
      <c r="I26" s="31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31">
        <f>_xlfn.XLOOKUP(TB_Vendas[[#This Row],[Vendedor]],Vendedores!$B$5:$B$9,Vendedores!$E$5:$E$9)</f>
        <v>0.2</v>
      </c>
      <c r="K26" s="31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31">
        <f>VLOOKUP(TB_Vendas[[#This Row],[Qtd]],Desc_TabelaToda,TB_Vendas[[#This Row],[Indice]],TRUE)</f>
        <v>0.2</v>
      </c>
      <c r="I27" s="31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31">
        <f>_xlfn.XLOOKUP(TB_Vendas[[#This Row],[Vendedor]],Vendedores!$B$5:$B$9,Vendedores!$E$5:$E$9)</f>
        <v>0.15</v>
      </c>
      <c r="K27" s="31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31">
        <f>VLOOKUP(TB_Vendas[[#This Row],[Qtd]],Desc_TabelaToda,TB_Vendas[[#This Row],[Indice]],TRUE)</f>
        <v>0.05</v>
      </c>
      <c r="I28" s="31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31">
        <f>_xlfn.XLOOKUP(TB_Vendas[[#This Row],[Vendedor]],Vendedores!$B$5:$B$9,Vendedores!$E$5:$E$9)</f>
        <v>0.15</v>
      </c>
      <c r="K28" s="31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31">
        <f>VLOOKUP(TB_Vendas[[#This Row],[Qtd]],Desc_TabelaToda,TB_Vendas[[#This Row],[Indice]],TRUE)</f>
        <v>0.1</v>
      </c>
      <c r="I29" s="31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31">
        <f>_xlfn.XLOOKUP(TB_Vendas[[#This Row],[Vendedor]],Vendedores!$B$5:$B$9,Vendedores!$E$5:$E$9)</f>
        <v>0.2</v>
      </c>
      <c r="K29" s="31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31">
        <f>VLOOKUP(TB_Vendas[[#This Row],[Qtd]],Desc_TabelaToda,TB_Vendas[[#This Row],[Indice]],TRUE)</f>
        <v>0.25</v>
      </c>
      <c r="I30" s="31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31">
        <f>_xlfn.XLOOKUP(TB_Vendas[[#This Row],[Vendedor]],Vendedores!$B$5:$B$9,Vendedores!$E$5:$E$9)</f>
        <v>0.15</v>
      </c>
      <c r="K30" s="31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31">
        <f>VLOOKUP(TB_Vendas[[#This Row],[Qtd]],Desc_TabelaToda,TB_Vendas[[#This Row],[Indice]],TRUE)</f>
        <v>0.15</v>
      </c>
      <c r="I31" s="31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31">
        <f>_xlfn.XLOOKUP(TB_Vendas[[#This Row],[Vendedor]],Vendedores!$B$5:$B$9,Vendedores!$E$5:$E$9)</f>
        <v>0.15</v>
      </c>
      <c r="K31" s="31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31">
        <f>VLOOKUP(TB_Vendas[[#This Row],[Qtd]],Desc_TabelaToda,TB_Vendas[[#This Row],[Indice]],TRUE)</f>
        <v>0.15</v>
      </c>
      <c r="I32" s="31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31">
        <f>_xlfn.XLOOKUP(TB_Vendas[[#This Row],[Vendedor]],Vendedores!$B$5:$B$9,Vendedores!$E$5:$E$9)</f>
        <v>0.2</v>
      </c>
      <c r="K32" s="31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31">
        <f>VLOOKUP(TB_Vendas[[#This Row],[Qtd]],Desc_TabelaToda,TB_Vendas[[#This Row],[Indice]],TRUE)</f>
        <v>0.1</v>
      </c>
      <c r="I33" s="31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31">
        <f>_xlfn.XLOOKUP(TB_Vendas[[#This Row],[Vendedor]],Vendedores!$B$5:$B$9,Vendedores!$E$5:$E$9)</f>
        <v>0.1</v>
      </c>
      <c r="K33" s="31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31">
        <f>VLOOKUP(TB_Vendas[[#This Row],[Qtd]],Desc_TabelaToda,TB_Vendas[[#This Row],[Indice]],TRUE)</f>
        <v>0.2</v>
      </c>
      <c r="I34" s="31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31">
        <f>_xlfn.XLOOKUP(TB_Vendas[[#This Row],[Vendedor]],Vendedores!$B$5:$B$9,Vendedores!$E$5:$E$9)</f>
        <v>0.2</v>
      </c>
      <c r="K34" s="31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31">
        <f>VLOOKUP(TB_Vendas[[#This Row],[Qtd]],Desc_TabelaToda,TB_Vendas[[#This Row],[Indice]],TRUE)</f>
        <v>0.2</v>
      </c>
      <c r="I35" s="31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31">
        <f>_xlfn.XLOOKUP(TB_Vendas[[#This Row],[Vendedor]],Vendedores!$B$5:$B$9,Vendedores!$E$5:$E$9)</f>
        <v>0.15</v>
      </c>
      <c r="K35" s="31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31">
        <f>VLOOKUP(TB_Vendas[[#This Row],[Qtd]],Desc_TabelaToda,TB_Vendas[[#This Row],[Indice]],TRUE)</f>
        <v>0.05</v>
      </c>
      <c r="I36" s="31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31">
        <f>_xlfn.XLOOKUP(TB_Vendas[[#This Row],[Vendedor]],Vendedores!$B$5:$B$9,Vendedores!$E$5:$E$9)</f>
        <v>0.2</v>
      </c>
      <c r="K36" s="31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31">
        <f>VLOOKUP(TB_Vendas[[#This Row],[Qtd]],Desc_TabelaToda,TB_Vendas[[#This Row],[Indice]],TRUE)</f>
        <v>0</v>
      </c>
      <c r="I37" s="31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31">
        <f>_xlfn.XLOOKUP(TB_Vendas[[#This Row],[Vendedor]],Vendedores!$B$5:$B$9,Vendedores!$E$5:$E$9)</f>
        <v>0.15</v>
      </c>
      <c r="K37" s="31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31">
        <f>VLOOKUP(TB_Vendas[[#This Row],[Qtd]],Desc_TabelaToda,TB_Vendas[[#This Row],[Indice]],TRUE)</f>
        <v>0.15</v>
      </c>
      <c r="I38" s="31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31">
        <f>_xlfn.XLOOKUP(TB_Vendas[[#This Row],[Vendedor]],Vendedores!$B$5:$B$9,Vendedores!$E$5:$E$9)</f>
        <v>0.2</v>
      </c>
      <c r="K38" s="31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31">
        <f>VLOOKUP(TB_Vendas[[#This Row],[Qtd]],Desc_TabelaToda,TB_Vendas[[#This Row],[Indice]],TRUE)</f>
        <v>0.15</v>
      </c>
      <c r="I39" s="31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31">
        <f>_xlfn.XLOOKUP(TB_Vendas[[#This Row],[Vendedor]],Vendedores!$B$5:$B$9,Vendedores!$E$5:$E$9)</f>
        <v>0.2</v>
      </c>
      <c r="K39" s="31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31">
        <f>VLOOKUP(TB_Vendas[[#This Row],[Qtd]],Desc_TabelaToda,TB_Vendas[[#This Row],[Indice]],TRUE)</f>
        <v>0.1</v>
      </c>
      <c r="I40" s="31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31">
        <f>_xlfn.XLOOKUP(TB_Vendas[[#This Row],[Vendedor]],Vendedores!$B$5:$B$9,Vendedores!$E$5:$E$9)</f>
        <v>0.2</v>
      </c>
      <c r="K40" s="31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31">
        <f>VLOOKUP(TB_Vendas[[#This Row],[Qtd]],Desc_TabelaToda,TB_Vendas[[#This Row],[Indice]],TRUE)</f>
        <v>0.2</v>
      </c>
      <c r="I41" s="31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31">
        <f>_xlfn.XLOOKUP(TB_Vendas[[#This Row],[Vendedor]],Vendedores!$B$5:$B$9,Vendedores!$E$5:$E$9)</f>
        <v>0.2</v>
      </c>
      <c r="K41" s="31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31">
        <f>VLOOKUP(TB_Vendas[[#This Row],[Qtd]],Desc_TabelaToda,TB_Vendas[[#This Row],[Indice]],TRUE)</f>
        <v>0</v>
      </c>
      <c r="I42" s="31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31">
        <f>_xlfn.XLOOKUP(TB_Vendas[[#This Row],[Vendedor]],Vendedores!$B$5:$B$9,Vendedores!$E$5:$E$9)</f>
        <v>0.15</v>
      </c>
      <c r="K42" s="31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31">
        <f>VLOOKUP(TB_Vendas[[#This Row],[Qtd]],Desc_TabelaToda,TB_Vendas[[#This Row],[Indice]],TRUE)</f>
        <v>0.2</v>
      </c>
      <c r="I43" s="31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31">
        <f>_xlfn.XLOOKUP(TB_Vendas[[#This Row],[Vendedor]],Vendedores!$B$5:$B$9,Vendedores!$E$5:$E$9)</f>
        <v>0.2</v>
      </c>
      <c r="K43" s="31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31">
        <f>VLOOKUP(TB_Vendas[[#This Row],[Qtd]],Desc_TabelaToda,TB_Vendas[[#This Row],[Indice]],TRUE)</f>
        <v>0.15</v>
      </c>
      <c r="I44" s="31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31">
        <f>_xlfn.XLOOKUP(TB_Vendas[[#This Row],[Vendedor]],Vendedores!$B$5:$B$9,Vendedores!$E$5:$E$9)</f>
        <v>0.15</v>
      </c>
      <c r="K44" s="31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31">
        <f>VLOOKUP(TB_Vendas[[#This Row],[Qtd]],Desc_TabelaToda,TB_Vendas[[#This Row],[Indice]],TRUE)</f>
        <v>0.2</v>
      </c>
      <c r="I45" s="31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31">
        <f>_xlfn.XLOOKUP(TB_Vendas[[#This Row],[Vendedor]],Vendedores!$B$5:$B$9,Vendedores!$E$5:$E$9)</f>
        <v>0.2</v>
      </c>
      <c r="K45" s="31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31">
        <f>VLOOKUP(TB_Vendas[[#This Row],[Qtd]],Desc_TabelaToda,TB_Vendas[[#This Row],[Indice]],TRUE)</f>
        <v>0.1</v>
      </c>
      <c r="I46" s="31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31">
        <f>_xlfn.XLOOKUP(TB_Vendas[[#This Row],[Vendedor]],Vendedores!$B$5:$B$9,Vendedores!$E$5:$E$9)</f>
        <v>0.15</v>
      </c>
      <c r="K46" s="31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31">
        <f>VLOOKUP(TB_Vendas[[#This Row],[Qtd]],Desc_TabelaToda,TB_Vendas[[#This Row],[Indice]],TRUE)</f>
        <v>0.05</v>
      </c>
      <c r="I47" s="31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31">
        <f>_xlfn.XLOOKUP(TB_Vendas[[#This Row],[Vendedor]],Vendedores!$B$5:$B$9,Vendedores!$E$5:$E$9)</f>
        <v>0.2</v>
      </c>
      <c r="K47" s="31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31">
        <f>VLOOKUP(TB_Vendas[[#This Row],[Qtd]],Desc_TabelaToda,TB_Vendas[[#This Row],[Indice]],TRUE)</f>
        <v>0.2</v>
      </c>
      <c r="I48" s="31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31">
        <f>_xlfn.XLOOKUP(TB_Vendas[[#This Row],[Vendedor]],Vendedores!$B$5:$B$9,Vendedores!$E$5:$E$9)</f>
        <v>0.15</v>
      </c>
      <c r="K48" s="31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31">
        <f>VLOOKUP(TB_Vendas[[#This Row],[Qtd]],Desc_TabelaToda,TB_Vendas[[#This Row],[Indice]],TRUE)</f>
        <v>0.15</v>
      </c>
      <c r="I49" s="31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31">
        <f>_xlfn.XLOOKUP(TB_Vendas[[#This Row],[Vendedor]],Vendedores!$B$5:$B$9,Vendedores!$E$5:$E$9)</f>
        <v>0.2</v>
      </c>
      <c r="K49" s="31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31">
        <f>VLOOKUP(TB_Vendas[[#This Row],[Qtd]],Desc_TabelaToda,TB_Vendas[[#This Row],[Indice]],TRUE)</f>
        <v>0.15</v>
      </c>
      <c r="I50" s="31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31">
        <f>_xlfn.XLOOKUP(TB_Vendas[[#This Row],[Vendedor]],Vendedores!$B$5:$B$9,Vendedores!$E$5:$E$9)</f>
        <v>0.15</v>
      </c>
      <c r="K50" s="31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31">
        <f>VLOOKUP(TB_Vendas[[#This Row],[Qtd]],Desc_TabelaToda,TB_Vendas[[#This Row],[Indice]],TRUE)</f>
        <v>0.15</v>
      </c>
      <c r="I51" s="31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31">
        <f>_xlfn.XLOOKUP(TB_Vendas[[#This Row],[Vendedor]],Vendedores!$B$5:$B$9,Vendedores!$E$5:$E$9)</f>
        <v>0.2</v>
      </c>
      <c r="K51" s="31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31">
        <f>VLOOKUP(TB_Vendas[[#This Row],[Qtd]],Desc_TabelaToda,TB_Vendas[[#This Row],[Indice]],TRUE)</f>
        <v>0.15</v>
      </c>
      <c r="I52" s="31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31">
        <f>_xlfn.XLOOKUP(TB_Vendas[[#This Row],[Vendedor]],Vendedores!$B$5:$B$9,Vendedores!$E$5:$E$9)</f>
        <v>0.1</v>
      </c>
      <c r="K52" s="31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31">
        <f>VLOOKUP(TB_Vendas[[#This Row],[Qtd]],Desc_TabelaToda,TB_Vendas[[#This Row],[Indice]],TRUE)</f>
        <v>0.15</v>
      </c>
      <c r="I53" s="31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31">
        <f>_xlfn.XLOOKUP(TB_Vendas[[#This Row],[Vendedor]],Vendedores!$B$5:$B$9,Vendedores!$E$5:$E$9)</f>
        <v>0.2</v>
      </c>
      <c r="K53" s="31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31">
        <f>VLOOKUP(TB_Vendas[[#This Row],[Qtd]],Desc_TabelaToda,TB_Vendas[[#This Row],[Indice]],TRUE)</f>
        <v>0.15</v>
      </c>
      <c r="I54" s="31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31">
        <f>_xlfn.XLOOKUP(TB_Vendas[[#This Row],[Vendedor]],Vendedores!$B$5:$B$9,Vendedores!$E$5:$E$9)</f>
        <v>0.1</v>
      </c>
      <c r="K54" s="31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31">
        <f>VLOOKUP(TB_Vendas[[#This Row],[Qtd]],Desc_TabelaToda,TB_Vendas[[#This Row],[Indice]],TRUE)</f>
        <v>0.1</v>
      </c>
      <c r="I55" s="31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31">
        <f>_xlfn.XLOOKUP(TB_Vendas[[#This Row],[Vendedor]],Vendedores!$B$5:$B$9,Vendedores!$E$5:$E$9)</f>
        <v>0.15</v>
      </c>
      <c r="K55" s="31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31">
        <f>VLOOKUP(TB_Vendas[[#This Row],[Qtd]],Desc_TabelaToda,TB_Vendas[[#This Row],[Indice]],TRUE)</f>
        <v>0.1</v>
      </c>
      <c r="I56" s="31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31">
        <f>_xlfn.XLOOKUP(TB_Vendas[[#This Row],[Vendedor]],Vendedores!$B$5:$B$9,Vendedores!$E$5:$E$9)</f>
        <v>0.1</v>
      </c>
      <c r="K56" s="31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31">
        <f>VLOOKUP(TB_Vendas[[#This Row],[Qtd]],Desc_TabelaToda,TB_Vendas[[#This Row],[Indice]],TRUE)</f>
        <v>0.2</v>
      </c>
      <c r="I57" s="31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31">
        <f>_xlfn.XLOOKUP(TB_Vendas[[#This Row],[Vendedor]],Vendedores!$B$5:$B$9,Vendedores!$E$5:$E$9)</f>
        <v>0.15</v>
      </c>
      <c r="K57" s="31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31">
        <f>VLOOKUP(TB_Vendas[[#This Row],[Qtd]],Desc_TabelaToda,TB_Vendas[[#This Row],[Indice]],TRUE)</f>
        <v>0.2</v>
      </c>
      <c r="I58" s="31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31">
        <f>_xlfn.XLOOKUP(TB_Vendas[[#This Row],[Vendedor]],Vendedores!$B$5:$B$9,Vendedores!$E$5:$E$9)</f>
        <v>0.2</v>
      </c>
      <c r="K58" s="31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31">
        <f>VLOOKUP(TB_Vendas[[#This Row],[Qtd]],Desc_TabelaToda,TB_Vendas[[#This Row],[Indice]],TRUE)</f>
        <v>0.1</v>
      </c>
      <c r="I59" s="31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31">
        <f>_xlfn.XLOOKUP(TB_Vendas[[#This Row],[Vendedor]],Vendedores!$B$5:$B$9,Vendedores!$E$5:$E$9)</f>
        <v>0.1</v>
      </c>
      <c r="K59" s="31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31">
        <f>VLOOKUP(TB_Vendas[[#This Row],[Qtd]],Desc_TabelaToda,TB_Vendas[[#This Row],[Indice]],TRUE)</f>
        <v>0.1</v>
      </c>
      <c r="I60" s="31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31">
        <f>_xlfn.XLOOKUP(TB_Vendas[[#This Row],[Vendedor]],Vendedores!$B$5:$B$9,Vendedores!$E$5:$E$9)</f>
        <v>0.15</v>
      </c>
      <c r="K60" s="31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31">
        <f>VLOOKUP(TB_Vendas[[#This Row],[Qtd]],Desc_TabelaToda,TB_Vendas[[#This Row],[Indice]],TRUE)</f>
        <v>0.25</v>
      </c>
      <c r="I61" s="31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31">
        <f>_xlfn.XLOOKUP(TB_Vendas[[#This Row],[Vendedor]],Vendedores!$B$5:$B$9,Vendedores!$E$5:$E$9)</f>
        <v>0.15</v>
      </c>
      <c r="K61" s="31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31">
        <f>VLOOKUP(TB_Vendas[[#This Row],[Qtd]],Desc_TabelaToda,TB_Vendas[[#This Row],[Indice]],TRUE)</f>
        <v>0.15</v>
      </c>
      <c r="I62" s="31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31">
        <f>_xlfn.XLOOKUP(TB_Vendas[[#This Row],[Vendedor]],Vendedores!$B$5:$B$9,Vendedores!$E$5:$E$9)</f>
        <v>0.15</v>
      </c>
      <c r="K62" s="31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31">
        <f>VLOOKUP(TB_Vendas[[#This Row],[Qtd]],Desc_TabelaToda,TB_Vendas[[#This Row],[Indice]],TRUE)</f>
        <v>0.2</v>
      </c>
      <c r="I63" s="31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31">
        <f>_xlfn.XLOOKUP(TB_Vendas[[#This Row],[Vendedor]],Vendedores!$B$5:$B$9,Vendedores!$E$5:$E$9)</f>
        <v>0.2</v>
      </c>
      <c r="K63" s="31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31">
        <f>VLOOKUP(TB_Vendas[[#This Row],[Qtd]],Desc_TabelaToda,TB_Vendas[[#This Row],[Indice]],TRUE)</f>
        <v>0.3</v>
      </c>
      <c r="I64" s="31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31">
        <f>_xlfn.XLOOKUP(TB_Vendas[[#This Row],[Vendedor]],Vendedores!$B$5:$B$9,Vendedores!$E$5:$E$9)</f>
        <v>0.2</v>
      </c>
      <c r="K64" s="31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31">
        <f>VLOOKUP(TB_Vendas[[#This Row],[Qtd]],Desc_TabelaToda,TB_Vendas[[#This Row],[Indice]],TRUE)</f>
        <v>0.1</v>
      </c>
      <c r="I65" s="31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31">
        <f>_xlfn.XLOOKUP(TB_Vendas[[#This Row],[Vendedor]],Vendedores!$B$5:$B$9,Vendedores!$E$5:$E$9)</f>
        <v>0.15</v>
      </c>
      <c r="K65" s="31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31">
        <f>VLOOKUP(TB_Vendas[[#This Row],[Qtd]],Desc_TabelaToda,TB_Vendas[[#This Row],[Indice]],TRUE)</f>
        <v>0.2</v>
      </c>
      <c r="I66" s="31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31">
        <f>_xlfn.XLOOKUP(TB_Vendas[[#This Row],[Vendedor]],Vendedores!$B$5:$B$9,Vendedores!$E$5:$E$9)</f>
        <v>0.15</v>
      </c>
      <c r="K66" s="31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31">
        <f>VLOOKUP(TB_Vendas[[#This Row],[Qtd]],Desc_TabelaToda,TB_Vendas[[#This Row],[Indice]],TRUE)</f>
        <v>0.25</v>
      </c>
      <c r="I67" s="31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31">
        <f>_xlfn.XLOOKUP(TB_Vendas[[#This Row],[Vendedor]],Vendedores!$B$5:$B$9,Vendedores!$E$5:$E$9)</f>
        <v>0.2</v>
      </c>
      <c r="K67" s="31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31">
        <f>VLOOKUP(TB_Vendas[[#This Row],[Qtd]],Desc_TabelaToda,TB_Vendas[[#This Row],[Indice]],TRUE)</f>
        <v>0.15</v>
      </c>
      <c r="I68" s="31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31">
        <f>_xlfn.XLOOKUP(TB_Vendas[[#This Row],[Vendedor]],Vendedores!$B$5:$B$9,Vendedores!$E$5:$E$9)</f>
        <v>0.2</v>
      </c>
      <c r="K68" s="31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31">
        <f>VLOOKUP(TB_Vendas[[#This Row],[Qtd]],Desc_TabelaToda,TB_Vendas[[#This Row],[Indice]],TRUE)</f>
        <v>0.15</v>
      </c>
      <c r="I69" s="31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31">
        <f>_xlfn.XLOOKUP(TB_Vendas[[#This Row],[Vendedor]],Vendedores!$B$5:$B$9,Vendedores!$E$5:$E$9)</f>
        <v>0.15</v>
      </c>
      <c r="K69" s="31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31">
        <f>VLOOKUP(TB_Vendas[[#This Row],[Qtd]],Desc_TabelaToda,TB_Vendas[[#This Row],[Indice]],TRUE)</f>
        <v>0.25</v>
      </c>
      <c r="I70" s="31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31">
        <f>_xlfn.XLOOKUP(TB_Vendas[[#This Row],[Vendedor]],Vendedores!$B$5:$B$9,Vendedores!$E$5:$E$9)</f>
        <v>0.2</v>
      </c>
      <c r="K70" s="31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31">
        <f>VLOOKUP(TB_Vendas[[#This Row],[Qtd]],Desc_TabelaToda,TB_Vendas[[#This Row],[Indice]],TRUE)</f>
        <v>0.2</v>
      </c>
      <c r="I71" s="31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31">
        <f>_xlfn.XLOOKUP(TB_Vendas[[#This Row],[Vendedor]],Vendedores!$B$5:$B$9,Vendedores!$E$5:$E$9)</f>
        <v>0.15</v>
      </c>
      <c r="K71" s="31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31">
        <f>VLOOKUP(TB_Vendas[[#This Row],[Qtd]],Desc_TabelaToda,TB_Vendas[[#This Row],[Indice]],TRUE)</f>
        <v>0.2</v>
      </c>
      <c r="I72" s="31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31">
        <f>_xlfn.XLOOKUP(TB_Vendas[[#This Row],[Vendedor]],Vendedores!$B$5:$B$9,Vendedores!$E$5:$E$9)</f>
        <v>0.2</v>
      </c>
      <c r="K72" s="31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31">
        <f>VLOOKUP(TB_Vendas[[#This Row],[Qtd]],Desc_TabelaToda,TB_Vendas[[#This Row],[Indice]],TRUE)</f>
        <v>0.25</v>
      </c>
      <c r="I73" s="31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31">
        <f>_xlfn.XLOOKUP(TB_Vendas[[#This Row],[Vendedor]],Vendedores!$B$5:$B$9,Vendedores!$E$5:$E$9)</f>
        <v>0.1</v>
      </c>
      <c r="K73" s="31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31">
        <f>VLOOKUP(TB_Vendas[[#This Row],[Qtd]],Desc_TabelaToda,TB_Vendas[[#This Row],[Indice]],TRUE)</f>
        <v>0.2</v>
      </c>
      <c r="I74" s="31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31">
        <f>_xlfn.XLOOKUP(TB_Vendas[[#This Row],[Vendedor]],Vendedores!$B$5:$B$9,Vendedores!$E$5:$E$9)</f>
        <v>0.15</v>
      </c>
      <c r="K74" s="31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31">
        <f>VLOOKUP(TB_Vendas[[#This Row],[Qtd]],Desc_TabelaToda,TB_Vendas[[#This Row],[Indice]],TRUE)</f>
        <v>0.25</v>
      </c>
      <c r="I75" s="31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31">
        <f>_xlfn.XLOOKUP(TB_Vendas[[#This Row],[Vendedor]],Vendedores!$B$5:$B$9,Vendedores!$E$5:$E$9)</f>
        <v>0.15</v>
      </c>
      <c r="K75" s="31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31">
        <f>VLOOKUP(TB_Vendas[[#This Row],[Qtd]],Desc_TabelaToda,TB_Vendas[[#This Row],[Indice]],TRUE)</f>
        <v>0.3</v>
      </c>
      <c r="I76" s="31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31">
        <f>_xlfn.XLOOKUP(TB_Vendas[[#This Row],[Vendedor]],Vendedores!$B$5:$B$9,Vendedores!$E$5:$E$9)</f>
        <v>0.15</v>
      </c>
      <c r="K76" s="31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31">
        <f>VLOOKUP(TB_Vendas[[#This Row],[Qtd]],Desc_TabelaToda,TB_Vendas[[#This Row],[Indice]],TRUE)</f>
        <v>0</v>
      </c>
      <c r="I77" s="31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31">
        <f>_xlfn.XLOOKUP(TB_Vendas[[#This Row],[Vendedor]],Vendedores!$B$5:$B$9,Vendedores!$E$5:$E$9)</f>
        <v>0.1</v>
      </c>
      <c r="K77" s="31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31">
        <f>VLOOKUP(TB_Vendas[[#This Row],[Qtd]],Desc_TabelaToda,TB_Vendas[[#This Row],[Indice]],TRUE)</f>
        <v>0.15</v>
      </c>
      <c r="I78" s="31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31">
        <f>_xlfn.XLOOKUP(TB_Vendas[[#This Row],[Vendedor]],Vendedores!$B$5:$B$9,Vendedores!$E$5:$E$9)</f>
        <v>0.1</v>
      </c>
      <c r="K78" s="31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31">
        <f>VLOOKUP(TB_Vendas[[#This Row],[Qtd]],Desc_TabelaToda,TB_Vendas[[#This Row],[Indice]],TRUE)</f>
        <v>0.25</v>
      </c>
      <c r="I79" s="31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31">
        <f>_xlfn.XLOOKUP(TB_Vendas[[#This Row],[Vendedor]],Vendedores!$B$5:$B$9,Vendedores!$E$5:$E$9)</f>
        <v>0.15</v>
      </c>
      <c r="K79" s="31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31">
        <f>VLOOKUP(TB_Vendas[[#This Row],[Qtd]],Desc_TabelaToda,TB_Vendas[[#This Row],[Indice]],TRUE)</f>
        <v>0.25</v>
      </c>
      <c r="I80" s="31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31">
        <f>_xlfn.XLOOKUP(TB_Vendas[[#This Row],[Vendedor]],Vendedores!$B$5:$B$9,Vendedores!$E$5:$E$9)</f>
        <v>0.1</v>
      </c>
      <c r="K80" s="31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31">
        <f>VLOOKUP(TB_Vendas[[#This Row],[Qtd]],Desc_TabelaToda,TB_Vendas[[#This Row],[Indice]],TRUE)</f>
        <v>0.3</v>
      </c>
      <c r="I81" s="31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31">
        <f>_xlfn.XLOOKUP(TB_Vendas[[#This Row],[Vendedor]],Vendedores!$B$5:$B$9,Vendedores!$E$5:$E$9)</f>
        <v>0.15</v>
      </c>
      <c r="K81" s="31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31">
        <f>VLOOKUP(TB_Vendas[[#This Row],[Qtd]],Desc_TabelaToda,TB_Vendas[[#This Row],[Indice]],TRUE)</f>
        <v>0.1</v>
      </c>
      <c r="I82" s="31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31">
        <f>_xlfn.XLOOKUP(TB_Vendas[[#This Row],[Vendedor]],Vendedores!$B$5:$B$9,Vendedores!$E$5:$E$9)</f>
        <v>0.1</v>
      </c>
      <c r="K82" s="31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31">
        <f>VLOOKUP(TB_Vendas[[#This Row],[Qtd]],Desc_TabelaToda,TB_Vendas[[#This Row],[Indice]],TRUE)</f>
        <v>0.1</v>
      </c>
      <c r="I83" s="31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31">
        <f>_xlfn.XLOOKUP(TB_Vendas[[#This Row],[Vendedor]],Vendedores!$B$5:$B$9,Vendedores!$E$5:$E$9)</f>
        <v>0.15</v>
      </c>
      <c r="K83" s="31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31">
        <f>VLOOKUP(TB_Vendas[[#This Row],[Qtd]],Desc_TabelaToda,TB_Vendas[[#This Row],[Indice]],TRUE)</f>
        <v>0.15</v>
      </c>
      <c r="I84" s="31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31">
        <f>_xlfn.XLOOKUP(TB_Vendas[[#This Row],[Vendedor]],Vendedores!$B$5:$B$9,Vendedores!$E$5:$E$9)</f>
        <v>0.2</v>
      </c>
      <c r="K84" s="31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31">
        <f>VLOOKUP(TB_Vendas[[#This Row],[Qtd]],Desc_TabelaToda,TB_Vendas[[#This Row],[Indice]],TRUE)</f>
        <v>0.25</v>
      </c>
      <c r="I85" s="31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31">
        <f>_xlfn.XLOOKUP(TB_Vendas[[#This Row],[Vendedor]],Vendedores!$B$5:$B$9,Vendedores!$E$5:$E$9)</f>
        <v>0.2</v>
      </c>
      <c r="K85" s="31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31">
        <f>VLOOKUP(TB_Vendas[[#This Row],[Qtd]],Desc_TabelaToda,TB_Vendas[[#This Row],[Indice]],TRUE)</f>
        <v>0.25</v>
      </c>
      <c r="I86" s="31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31">
        <f>_xlfn.XLOOKUP(TB_Vendas[[#This Row],[Vendedor]],Vendedores!$B$5:$B$9,Vendedores!$E$5:$E$9)</f>
        <v>0.15</v>
      </c>
      <c r="K86" s="31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C12" sqref="C12"/>
    </sheetView>
  </sheetViews>
  <sheetFormatPr defaultColWidth="8.88671875" defaultRowHeight="14.4" zeroHeight="1"/>
  <cols>
    <col min="1" max="1" width="8.88671875" customWidth="1"/>
    <col min="2" max="2" width="21.88671875" customWidth="1"/>
    <col min="3" max="3" width="31.77734375" customWidth="1"/>
    <col min="4" max="4" width="11.6640625" customWidth="1"/>
    <col min="5" max="5" width="21.88671875" customWidth="1"/>
    <col min="6" max="6" width="26.33203125" customWidth="1"/>
    <col min="7" max="9" width="8.88671875" customWidth="1"/>
  </cols>
  <sheetData>
    <row r="1" spans="1:9" s="13" customFormat="1" ht="40.200000000000003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33" customHeight="1">
      <c r="A4" s="15"/>
      <c r="B4" s="63" t="s">
        <v>140</v>
      </c>
      <c r="C4" s="63"/>
      <c r="D4" s="15"/>
      <c r="E4" s="63" t="s">
        <v>147</v>
      </c>
      <c r="F4" s="63"/>
    </row>
    <row r="5" spans="1:9" ht="5.25" customHeight="1" thickBot="1">
      <c r="E5" s="24"/>
      <c r="F5" s="24"/>
    </row>
    <row r="6" spans="1:9" ht="24.6" customHeight="1" thickBot="1">
      <c r="B6" s="43" t="s">
        <v>141</v>
      </c>
      <c r="C6" s="47" t="s">
        <v>102</v>
      </c>
      <c r="E6" s="43" t="s">
        <v>146</v>
      </c>
      <c r="F6" s="52">
        <v>44949</v>
      </c>
    </row>
    <row r="7" spans="1:9" ht="24.6" customHeight="1" thickTop="1" thickBot="1">
      <c r="B7" s="43" t="s">
        <v>142</v>
      </c>
      <c r="C7" s="48" t="str">
        <f>IFERROR(VLOOKUP(C6,TB_Produtos[#All],2,FALSE),"")</f>
        <v>Sandália Rasteira</v>
      </c>
      <c r="E7" s="43" t="s">
        <v>149</v>
      </c>
      <c r="F7" s="48" t="str">
        <f>_xlfn.XLOOKUP(WEEKDAY(F6),'Cadastros Auxiliares'!$B$4:$I$4,'Cadastros Auxiliares'!$B$5:$I$5,"")</f>
        <v>Segunda-feira</v>
      </c>
      <c r="G7" s="21"/>
    </row>
    <row r="8" spans="1:9" ht="24.6" customHeight="1" thickTop="1" thickBot="1">
      <c r="B8" s="44" t="s">
        <v>143</v>
      </c>
      <c r="C8" s="49" cm="1">
        <f t="array" ref="C8">_xlfn.XLOOKUP(C6,TB_Produtos[[#All],[Código]],TB_Produtos[[#All],[Tamanho]],"")</f>
        <v>35</v>
      </c>
      <c r="E8" s="44" t="s">
        <v>150</v>
      </c>
      <c r="F8" s="50">
        <f>SUMIF(TB_Vendas[[#All],[Data]],Consultas!$F$6,TB_Vendas[[#All],[Total]])</f>
        <v>146</v>
      </c>
      <c r="G8" s="21"/>
    </row>
    <row r="9" spans="1:9" ht="24.6" customHeight="1" thickTop="1" thickBot="1">
      <c r="B9" s="45" t="s">
        <v>144</v>
      </c>
      <c r="C9" s="49" t="str">
        <f>IFERROR(VLOOKUP($C$6,Produtos!$B$6:$G$66,4,0),"")</f>
        <v>Calçado</v>
      </c>
      <c r="E9" s="46" t="s">
        <v>148</v>
      </c>
      <c r="F9" s="53">
        <f>SUMIF(TB_Vendas[[#All],[Data]],Consultas!$F$6,TB_Vendas[[#All],[Qtd]])</f>
        <v>1</v>
      </c>
      <c r="G9" s="21"/>
    </row>
    <row r="10" spans="1:9" ht="24.6" customHeight="1" thickTop="1" thickBot="1">
      <c r="B10" s="45" t="s">
        <v>151</v>
      </c>
      <c r="C10" s="50">
        <f>_xlfn.XLOOKUP($C$6,Produtos!$B$6:$B$66,Produtos!$G$6:$G$66,"")</f>
        <v>89.9</v>
      </c>
      <c r="G10" s="21"/>
    </row>
    <row r="11" spans="1:9" ht="24.6" customHeight="1" thickTop="1" thickBot="1">
      <c r="B11" s="44" t="s">
        <v>145</v>
      </c>
      <c r="C11" s="49" cm="1">
        <f t="array" ref="C11">_xlfn.XLOOKUP($C$6,TB_Produtos[[#All],[Código]],TB_Produtos[[#All],[Estoque]],"")</f>
        <v>48</v>
      </c>
      <c r="G11" s="21"/>
    </row>
    <row r="12" spans="1:9" ht="22.8" thickTop="1" thickBot="1">
      <c r="B12" s="45" t="s">
        <v>152</v>
      </c>
      <c r="C12" s="49" t="str" cm="1">
        <f t="array" ref="C12">_xlfn.IFS(C11=0,"Estoque Zerado",C11&gt;=C13,"Estoque OK",1,"Rever Estoque")</f>
        <v>Estoque OK</v>
      </c>
      <c r="E12" s="32"/>
    </row>
    <row r="13" spans="1:9" ht="24.6" thickTop="1" thickBot="1">
      <c r="B13" s="46" t="s">
        <v>154</v>
      </c>
      <c r="C13" s="51">
        <f>_xlfn.XLOOKUP(C9,'Cadastros Auxiliares'!G9:G11,'Cadastros Auxiliares'!H9:H11)</f>
        <v>15</v>
      </c>
      <c r="E13" s="33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423-48AC-46DF-AA57-B1CDE55AEBCA}">
  <sheetPr>
    <tabColor rgb="FFEE6471"/>
  </sheetPr>
  <dimension ref="A1:AL13"/>
  <sheetViews>
    <sheetView zoomScale="130" zoomScaleNormal="130" workbookViewId="0">
      <selection activeCell="F7" sqref="F7"/>
    </sheetView>
  </sheetViews>
  <sheetFormatPr defaultRowHeight="14.4"/>
  <cols>
    <col min="1" max="1" width="20" bestFit="1" customWidth="1"/>
    <col min="2" max="2" width="15.6640625" bestFit="1" customWidth="1"/>
    <col min="3" max="3" width="21" bestFit="1" customWidth="1"/>
    <col min="4" max="4" width="5.21875" bestFit="1" customWidth="1"/>
    <col min="5" max="5" width="17.21875" bestFit="1" customWidth="1"/>
    <col min="6" max="6" width="20.5546875" bestFit="1" customWidth="1"/>
    <col min="7" max="13" width="5.21875" bestFit="1" customWidth="1"/>
    <col min="14" max="14" width="3.21875" bestFit="1" customWidth="1"/>
    <col min="15" max="21" width="5.21875" bestFit="1" customWidth="1"/>
    <col min="22" max="23" width="4.109375" bestFit="1" customWidth="1"/>
    <col min="24" max="24" width="6.33203125" bestFit="1" customWidth="1"/>
    <col min="25" max="28" width="4.109375" bestFit="1" customWidth="1"/>
    <col min="29" max="29" width="6.33203125" bestFit="1" customWidth="1"/>
    <col min="30" max="31" width="4.109375" bestFit="1" customWidth="1"/>
    <col min="32" max="34" width="6.33203125" bestFit="1" customWidth="1"/>
    <col min="35" max="35" width="4.109375" bestFit="1" customWidth="1"/>
    <col min="36" max="37" width="6.33203125" bestFit="1" customWidth="1"/>
    <col min="38" max="38" width="10" bestFit="1" customWidth="1"/>
    <col min="39" max="39" width="16" bestFit="1" customWidth="1"/>
    <col min="40" max="40" width="17.33203125" bestFit="1" customWidth="1"/>
    <col min="41" max="41" width="19.77734375" bestFit="1" customWidth="1"/>
    <col min="42" max="42" width="12.77734375" bestFit="1" customWidth="1"/>
    <col min="43" max="43" width="15.109375" bestFit="1" customWidth="1"/>
    <col min="44" max="44" width="14.21875" bestFit="1" customWidth="1"/>
    <col min="45" max="45" width="16.5546875" bestFit="1" customWidth="1"/>
    <col min="46" max="46" width="14.21875" bestFit="1" customWidth="1"/>
    <col min="47" max="47" width="16.6640625" bestFit="1" customWidth="1"/>
    <col min="48" max="48" width="14.5546875" bestFit="1" customWidth="1"/>
    <col min="49" max="49" width="16.88671875" bestFit="1" customWidth="1"/>
    <col min="50" max="50" width="14.5546875" bestFit="1" customWidth="1"/>
    <col min="51" max="51" width="16.88671875" bestFit="1" customWidth="1"/>
    <col min="52" max="52" width="10" bestFit="1" customWidth="1"/>
  </cols>
  <sheetData>
    <row r="1" spans="1:38" ht="48.6" customHeight="1"/>
    <row r="3" spans="1:38" s="60" customFormat="1">
      <c r="A3" s="59" t="s">
        <v>160</v>
      </c>
      <c r="B3" t="s">
        <v>163</v>
      </c>
      <c r="C3" s="60" t="s">
        <v>161</v>
      </c>
      <c r="D3"/>
      <c r="E3" s="56" t="s">
        <v>160</v>
      </c>
      <c r="F3" t="s">
        <v>165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s="60" customFormat="1">
      <c r="A4" s="57" t="s">
        <v>13</v>
      </c>
      <c r="B4" s="58">
        <v>159</v>
      </c>
      <c r="C4" s="8">
        <v>964.59999999999991</v>
      </c>
      <c r="D4"/>
      <c r="E4" s="57" t="s">
        <v>13</v>
      </c>
      <c r="F4" s="58">
        <v>6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 s="97" t="s">
        <v>29</v>
      </c>
      <c r="B5" s="58">
        <v>36</v>
      </c>
      <c r="C5" s="8">
        <v>145</v>
      </c>
      <c r="E5" s="57" t="s">
        <v>14</v>
      </c>
      <c r="F5" s="58">
        <v>9</v>
      </c>
    </row>
    <row r="6" spans="1:38">
      <c r="A6" s="97" t="s">
        <v>28</v>
      </c>
      <c r="B6" s="58">
        <v>21</v>
      </c>
      <c r="C6" s="8">
        <v>259.89999999999998</v>
      </c>
      <c r="E6" s="57" t="s">
        <v>12</v>
      </c>
      <c r="F6" s="58">
        <v>45</v>
      </c>
    </row>
    <row r="7" spans="1:38">
      <c r="A7" s="97" t="s">
        <v>6</v>
      </c>
      <c r="B7" s="58">
        <v>23</v>
      </c>
      <c r="C7" s="8">
        <v>39.9</v>
      </c>
      <c r="E7" s="57" t="s">
        <v>162</v>
      </c>
      <c r="F7" s="58">
        <v>60</v>
      </c>
    </row>
    <row r="8" spans="1:38">
      <c r="A8" s="97" t="s">
        <v>7</v>
      </c>
      <c r="B8" s="58">
        <v>2</v>
      </c>
      <c r="C8" s="8">
        <v>49.9</v>
      </c>
    </row>
    <row r="9" spans="1:38">
      <c r="A9" s="97" t="s">
        <v>20</v>
      </c>
      <c r="B9" s="58">
        <v>32</v>
      </c>
      <c r="C9" s="8">
        <v>349.9</v>
      </c>
    </row>
    <row r="10" spans="1:38">
      <c r="A10" s="97" t="s">
        <v>19</v>
      </c>
      <c r="B10" s="58">
        <v>45</v>
      </c>
      <c r="C10" s="8">
        <v>120</v>
      </c>
    </row>
    <row r="11" spans="1:38">
      <c r="A11" s="57" t="s">
        <v>14</v>
      </c>
      <c r="B11" s="58">
        <v>350</v>
      </c>
      <c r="C11" s="8">
        <v>1789.4</v>
      </c>
    </row>
    <row r="12" spans="1:38">
      <c r="A12" s="57" t="s">
        <v>12</v>
      </c>
      <c r="B12" s="58">
        <v>1482</v>
      </c>
      <c r="C12" s="8">
        <v>5298.699999999998</v>
      </c>
    </row>
    <row r="13" spans="1:38">
      <c r="A13" s="57" t="s">
        <v>162</v>
      </c>
      <c r="B13" s="58">
        <v>1991</v>
      </c>
      <c r="C13" s="8">
        <v>8052.699999999998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2658-C8D7-4959-BB1E-9564AFE159E6}">
  <sheetPr>
    <tabColor rgb="FFEE6471"/>
  </sheetPr>
  <dimension ref="A3:C12"/>
  <sheetViews>
    <sheetView topLeftCell="A2" zoomScale="130" zoomScaleNormal="130" workbookViewId="0">
      <selection activeCell="C5" sqref="C5"/>
    </sheetView>
  </sheetViews>
  <sheetFormatPr defaultRowHeight="14.4"/>
  <cols>
    <col min="1" max="1" width="16.77734375" bestFit="1" customWidth="1"/>
    <col min="2" max="2" width="11.5546875" bestFit="1" customWidth="1"/>
    <col min="3" max="3" width="13.44140625" bestFit="1" customWidth="1"/>
    <col min="4" max="8" width="19" bestFit="1" customWidth="1"/>
    <col min="9" max="9" width="10.21875" bestFit="1" customWidth="1"/>
    <col min="10" max="77" width="19" bestFit="1" customWidth="1"/>
    <col min="78" max="78" width="10.21875" bestFit="1" customWidth="1"/>
  </cols>
  <sheetData>
    <row r="3" spans="1:3">
      <c r="A3" s="56" t="s">
        <v>160</v>
      </c>
      <c r="B3" t="s">
        <v>164</v>
      </c>
      <c r="C3" t="s">
        <v>174</v>
      </c>
    </row>
    <row r="4" spans="1:3">
      <c r="A4" s="57" t="s">
        <v>166</v>
      </c>
      <c r="B4" s="58">
        <v>14</v>
      </c>
      <c r="C4" s="8">
        <v>1750.9</v>
      </c>
    </row>
    <row r="5" spans="1:3">
      <c r="A5" s="57" t="s">
        <v>167</v>
      </c>
      <c r="B5" s="58">
        <v>15</v>
      </c>
      <c r="C5" s="8">
        <v>2974.9</v>
      </c>
    </row>
    <row r="6" spans="1:3">
      <c r="A6" s="57" t="s">
        <v>168</v>
      </c>
      <c r="B6" s="58">
        <v>26</v>
      </c>
      <c r="C6" s="8">
        <v>3698.1</v>
      </c>
    </row>
    <row r="7" spans="1:3">
      <c r="A7" s="57" t="s">
        <v>169</v>
      </c>
      <c r="B7" s="58">
        <v>28</v>
      </c>
      <c r="C7" s="8">
        <v>3651.0999999999995</v>
      </c>
    </row>
    <row r="8" spans="1:3">
      <c r="A8" s="57" t="s">
        <v>170</v>
      </c>
      <c r="B8" s="58">
        <v>17</v>
      </c>
      <c r="C8" s="8">
        <v>2776.2999999999997</v>
      </c>
    </row>
    <row r="9" spans="1:3">
      <c r="A9" s="57" t="s">
        <v>171</v>
      </c>
      <c r="B9" s="58">
        <v>41</v>
      </c>
      <c r="C9" s="8">
        <v>3477.7000000000007</v>
      </c>
    </row>
    <row r="10" spans="1:3">
      <c r="A10" s="57" t="s">
        <v>172</v>
      </c>
      <c r="B10" s="58">
        <v>53</v>
      </c>
      <c r="C10" s="8">
        <v>8602.0999999999985</v>
      </c>
    </row>
    <row r="11" spans="1:3">
      <c r="A11" s="57" t="s">
        <v>173</v>
      </c>
      <c r="B11" s="58">
        <v>56</v>
      </c>
      <c r="C11" s="8">
        <v>6373.7</v>
      </c>
    </row>
    <row r="12" spans="1:3">
      <c r="A12" s="57" t="s">
        <v>162</v>
      </c>
      <c r="B12" s="58">
        <v>250</v>
      </c>
      <c r="C12" s="8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4.4"/>
  <cols>
    <col min="1" max="1" width="8" customWidth="1"/>
    <col min="2" max="2" width="30.88671875" customWidth="1"/>
    <col min="3" max="9" width="17.44140625" customWidth="1"/>
  </cols>
  <sheetData>
    <row r="1" spans="2:10" s="13" customFormat="1" ht="40.200000000000003" customHeight="1">
      <c r="B1" s="29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2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4" customFormat="1" ht="22.2" thickBot="1">
      <c r="B5" s="22" t="s">
        <v>123</v>
      </c>
      <c r="C5" s="23" t="s">
        <v>124</v>
      </c>
      <c r="D5" s="23" t="s">
        <v>125</v>
      </c>
      <c r="E5" s="23" t="s">
        <v>126</v>
      </c>
      <c r="F5" s="23" t="s">
        <v>127</v>
      </c>
      <c r="G5" s="23" t="s">
        <v>128</v>
      </c>
      <c r="H5" s="23" t="s">
        <v>129</v>
      </c>
      <c r="I5" s="23" t="s">
        <v>130</v>
      </c>
    </row>
    <row r="7" spans="2:10" ht="15" thickBot="1"/>
    <row r="8" spans="2:10" ht="43.8" thickBot="1">
      <c r="B8" s="26" t="s">
        <v>139</v>
      </c>
      <c r="C8" s="27" t="s">
        <v>13</v>
      </c>
      <c r="D8" s="27" t="s">
        <v>12</v>
      </c>
      <c r="E8" s="27" t="s">
        <v>14</v>
      </c>
      <c r="G8" s="34" t="s">
        <v>10</v>
      </c>
      <c r="H8" s="35" t="s">
        <v>153</v>
      </c>
    </row>
    <row r="9" spans="2:10" ht="17.399999999999999" thickBot="1">
      <c r="B9" s="23">
        <v>1</v>
      </c>
      <c r="C9" s="25">
        <v>0</v>
      </c>
      <c r="D9" s="25">
        <v>0.1</v>
      </c>
      <c r="E9" s="28">
        <v>0</v>
      </c>
      <c r="G9" s="23" t="s">
        <v>13</v>
      </c>
      <c r="H9" s="36">
        <v>5</v>
      </c>
    </row>
    <row r="10" spans="2:10" ht="17.399999999999999" thickBot="1">
      <c r="B10" s="23">
        <v>2</v>
      </c>
      <c r="C10" s="25">
        <v>0.05</v>
      </c>
      <c r="D10" s="25">
        <v>0.15</v>
      </c>
      <c r="E10" s="28">
        <v>0.1</v>
      </c>
      <c r="G10" s="23" t="s">
        <v>12</v>
      </c>
      <c r="H10" s="36">
        <v>10</v>
      </c>
    </row>
    <row r="11" spans="2:10" ht="17.399999999999999" thickBot="1">
      <c r="B11" s="23">
        <v>3</v>
      </c>
      <c r="C11" s="25">
        <v>0.15</v>
      </c>
      <c r="D11" s="25">
        <v>0.2</v>
      </c>
      <c r="E11" s="28">
        <v>0.15</v>
      </c>
      <c r="G11" s="23" t="s">
        <v>14</v>
      </c>
      <c r="H11" s="36">
        <v>15</v>
      </c>
    </row>
    <row r="12" spans="2:10" ht="17.399999999999999" thickBot="1">
      <c r="B12" s="23">
        <v>5</v>
      </c>
      <c r="C12" s="25">
        <v>0.25</v>
      </c>
      <c r="D12" s="25">
        <v>0.25</v>
      </c>
      <c r="E12" s="28">
        <v>0.25</v>
      </c>
    </row>
    <row r="13" spans="2:10" ht="17.399999999999999" thickBot="1">
      <c r="B13" s="23">
        <v>10</v>
      </c>
      <c r="C13" s="25">
        <v>0.3</v>
      </c>
      <c r="D13" s="25">
        <v>0.3</v>
      </c>
      <c r="E13" s="28">
        <v>0.3</v>
      </c>
      <c r="G13" s="30"/>
    </row>
    <row r="15" spans="2:10" ht="23.4">
      <c r="B15" s="33"/>
      <c r="C15" s="33"/>
      <c r="D15" s="33"/>
      <c r="E15" s="33"/>
      <c r="F15" s="33"/>
    </row>
    <row r="16" spans="2:10" ht="23.4">
      <c r="B16" s="33"/>
      <c r="C16" s="33"/>
      <c r="D16" s="33"/>
      <c r="E16" s="33"/>
      <c r="F16" s="33"/>
    </row>
    <row r="17" spans="2:6" ht="23.4">
      <c r="B17" s="33"/>
      <c r="C17" s="33"/>
      <c r="D17" s="42"/>
      <c r="E17" s="33"/>
      <c r="F17" s="33"/>
    </row>
    <row r="18" spans="2:6" ht="23.4">
      <c r="B18" s="33"/>
      <c r="C18" s="33"/>
      <c r="D18" s="33"/>
      <c r="E18" s="33"/>
      <c r="F18" s="42"/>
    </row>
    <row r="19" spans="2:6" ht="23.4">
      <c r="B19" s="33"/>
      <c r="C19" s="33"/>
      <c r="D19" s="33"/>
      <c r="E19" s="33"/>
      <c r="F19" s="33"/>
    </row>
    <row r="20" spans="2:6" ht="23.4">
      <c r="B20" s="33"/>
      <c r="C20" s="33"/>
      <c r="D20" s="33"/>
      <c r="E20" s="33"/>
      <c r="F20" s="33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166C-EE5D-424E-97BF-F42EDD215599}">
  <sheetPr>
    <tabColor rgb="FFEE6471"/>
  </sheetPr>
  <dimension ref="A3:B9"/>
  <sheetViews>
    <sheetView zoomScale="140" zoomScaleNormal="140" workbookViewId="0">
      <selection activeCell="L20" sqref="L20"/>
    </sheetView>
  </sheetViews>
  <sheetFormatPr defaultRowHeight="14.4"/>
  <cols>
    <col min="1" max="1" width="16.77734375" bestFit="1" customWidth="1"/>
    <col min="2" max="2" width="13.5546875" bestFit="1" customWidth="1"/>
    <col min="3" max="3" width="6.77734375" bestFit="1" customWidth="1"/>
    <col min="4" max="4" width="10.44140625" bestFit="1" customWidth="1"/>
  </cols>
  <sheetData>
    <row r="3" spans="1:2">
      <c r="A3" s="56" t="s">
        <v>160</v>
      </c>
      <c r="B3" t="s">
        <v>174</v>
      </c>
    </row>
    <row r="4" spans="1:2">
      <c r="A4" s="57" t="s">
        <v>118</v>
      </c>
      <c r="B4" s="8">
        <v>6811.2</v>
      </c>
    </row>
    <row r="5" spans="1:2">
      <c r="A5" s="57" t="s">
        <v>119</v>
      </c>
      <c r="B5" s="8">
        <v>6552.6</v>
      </c>
    </row>
    <row r="6" spans="1:2">
      <c r="A6" s="57" t="s">
        <v>70</v>
      </c>
      <c r="B6" s="8">
        <v>3259.7000000000003</v>
      </c>
    </row>
    <row r="7" spans="1:2">
      <c r="A7" s="57" t="s">
        <v>71</v>
      </c>
      <c r="B7" s="8">
        <v>8601.5999999999985</v>
      </c>
    </row>
    <row r="8" spans="1:2">
      <c r="A8" s="57" t="s">
        <v>73</v>
      </c>
      <c r="B8" s="8">
        <v>8079.7</v>
      </c>
    </row>
    <row r="9" spans="1:2">
      <c r="A9" s="57" t="s">
        <v>162</v>
      </c>
      <c r="B9" s="8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tabSelected="1" zoomScaleNormal="100" workbookViewId="0">
      <selection activeCell="CM22" sqref="CM22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64" t="s">
        <v>76</v>
      </c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6"/>
      <c r="AQ2" s="64" t="s">
        <v>77</v>
      </c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6"/>
      <c r="BK2" s="64" t="s">
        <v>78</v>
      </c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6"/>
    </row>
    <row r="3" spans="3:80" ht="9.75" customHeight="1" thickBot="1"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9"/>
      <c r="AQ3" s="67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9"/>
      <c r="BK3" s="67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9"/>
    </row>
    <row r="4" spans="3:80" ht="9.75" customHeight="1">
      <c r="W4" s="70">
        <f>GETPIVOTDATA("Produtos",DN_Produtos!$E$3)</f>
        <v>60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2"/>
      <c r="AQ4" s="70">
        <f>GETPIVOTDATA("[Measures].[Soma de Qtd]",DN_Vendas!$A$3)</f>
        <v>250</v>
      </c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2"/>
      <c r="BK4" s="79">
        <f>GETPIVOTDATA("[Measures].[Soma de Total]",DN_Vendas!$A$3)</f>
        <v>33304.799999999988</v>
      </c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1"/>
    </row>
    <row r="5" spans="3:80" ht="9.75" customHeight="1">
      <c r="W5" s="73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5"/>
      <c r="AQ5" s="73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5"/>
      <c r="BK5" s="82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4"/>
    </row>
    <row r="6" spans="3:80" ht="9.75" customHeight="1">
      <c r="W6" s="73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5"/>
      <c r="AQ6" s="73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5"/>
      <c r="BK6" s="82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4"/>
    </row>
    <row r="7" spans="3:80" ht="9.75" customHeight="1" thickBot="1">
      <c r="W7" s="76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8"/>
      <c r="AQ7" s="76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8"/>
      <c r="BK7" s="85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7"/>
    </row>
    <row r="8" spans="3:80" ht="9.75" customHeight="1" thickBot="1"/>
    <row r="9" spans="3:80" ht="9.75" customHeight="1">
      <c r="C9" s="64" t="s">
        <v>79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6"/>
    </row>
    <row r="10" spans="3:80" ht="9.75" customHeight="1" thickBot="1">
      <c r="C10" s="67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9"/>
    </row>
    <row r="11" spans="3:80" ht="9.75" customHeight="1"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90"/>
    </row>
    <row r="12" spans="3:80" ht="9.75" customHeight="1">
      <c r="C12" s="91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3"/>
    </row>
    <row r="13" spans="3:80" ht="9.75" customHeight="1">
      <c r="C13" s="91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3"/>
    </row>
    <row r="14" spans="3:80" ht="9.75" customHeight="1"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3"/>
    </row>
    <row r="15" spans="3:80" ht="9.75" customHeight="1"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3"/>
    </row>
    <row r="16" spans="3:80" ht="9.75" customHeight="1"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3"/>
    </row>
    <row r="17" spans="3:80" ht="9.75" customHeight="1"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3"/>
    </row>
    <row r="18" spans="3:80" ht="9.75" customHeight="1"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3"/>
    </row>
    <row r="19" spans="3:80" ht="9.75" customHeight="1"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3"/>
    </row>
    <row r="20" spans="3:80" ht="9.75" customHeight="1"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3"/>
    </row>
    <row r="21" spans="3:80" ht="9.75" customHeight="1"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3"/>
    </row>
    <row r="22" spans="3:80" ht="9.75" customHeight="1"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3"/>
    </row>
    <row r="23" spans="3:80" ht="9.75" customHeight="1"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3"/>
    </row>
    <row r="24" spans="3:80" ht="9.75" customHeight="1" thickBot="1"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6"/>
    </row>
    <row r="25" spans="3:80" ht="9.75" customHeight="1" thickBot="1"/>
    <row r="26" spans="3:80" ht="9.75" customHeight="1">
      <c r="C26" s="64" t="s">
        <v>80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6"/>
      <c r="AO26" s="6"/>
      <c r="AP26" s="6"/>
      <c r="AQ26" s="64" t="s">
        <v>81</v>
      </c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6"/>
    </row>
    <row r="27" spans="3:80" ht="9.75" customHeight="1" thickBot="1">
      <c r="C27" s="67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9"/>
      <c r="AO27" s="6"/>
      <c r="AP27" s="6"/>
      <c r="AQ27" s="67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9"/>
    </row>
    <row r="28" spans="3:80" ht="9.75" customHeight="1">
      <c r="C28" s="88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90"/>
      <c r="AQ28" s="88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90"/>
    </row>
    <row r="29" spans="3:80" ht="9.75" customHeight="1">
      <c r="C29" s="91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3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3"/>
    </row>
    <row r="30" spans="3:80" ht="9.75" customHeight="1">
      <c r="C30" s="91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3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3"/>
    </row>
    <row r="31" spans="3:80" ht="9.75" customHeight="1">
      <c r="C31" s="91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3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3"/>
    </row>
    <row r="32" spans="3:80" ht="9.75" customHeight="1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3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3"/>
    </row>
    <row r="33" spans="3:80" ht="9.75" customHeight="1">
      <c r="C33" s="91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3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3"/>
    </row>
    <row r="34" spans="3:80" ht="9.75" customHeight="1">
      <c r="C34" s="91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3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3"/>
    </row>
    <row r="35" spans="3:80" ht="9.75" customHeight="1">
      <c r="C35" s="91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3"/>
      <c r="AQ35" s="91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3"/>
    </row>
    <row r="36" spans="3:80" ht="9.75" customHeight="1">
      <c r="C36" s="91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3"/>
      <c r="AQ36" s="91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3"/>
    </row>
    <row r="37" spans="3:80" ht="9.75" customHeight="1">
      <c r="C37" s="91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3"/>
      <c r="AQ37" s="91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3"/>
    </row>
    <row r="38" spans="3:80" ht="9.75" customHeight="1">
      <c r="C38" s="91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3"/>
      <c r="AQ38" s="91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3"/>
    </row>
    <row r="39" spans="3:80" ht="9.75" customHeight="1">
      <c r="C39" s="91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3"/>
      <c r="AQ39" s="91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3"/>
    </row>
    <row r="40" spans="3:80" ht="9.75" customHeight="1">
      <c r="C40" s="91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3"/>
      <c r="AQ40" s="91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3"/>
    </row>
    <row r="41" spans="3:80" ht="9.75" customHeight="1">
      <c r="C41" s="91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3"/>
      <c r="AQ41" s="91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3"/>
    </row>
    <row r="42" spans="3:80" ht="9.75" customHeight="1">
      <c r="C42" s="91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3"/>
      <c r="AQ42" s="91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3"/>
    </row>
    <row r="43" spans="3:80" ht="9.75" customHeight="1">
      <c r="C43" s="91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3"/>
      <c r="AQ43" s="91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3"/>
    </row>
    <row r="44" spans="3:80" ht="9.75" customHeight="1">
      <c r="C44" s="91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3"/>
      <c r="AQ44" s="91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3"/>
    </row>
    <row r="45" spans="3:80" ht="9.75" customHeight="1">
      <c r="C45" s="91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3"/>
      <c r="AQ45" s="91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3"/>
    </row>
    <row r="46" spans="3:80" ht="9.75" customHeight="1" thickBot="1">
      <c r="C46" s="94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6"/>
      <c r="AQ46" s="94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6"/>
    </row>
  </sheetData>
  <mergeCells count="12">
    <mergeCell ref="C9:CB10"/>
    <mergeCell ref="C11:CB24"/>
    <mergeCell ref="C26:AN27"/>
    <mergeCell ref="C28:AN46"/>
    <mergeCell ref="AQ26:CB27"/>
    <mergeCell ref="AQ28:CB46"/>
    <mergeCell ref="W2:AN3"/>
    <mergeCell ref="W4:AN7"/>
    <mergeCell ref="AQ2:BH3"/>
    <mergeCell ref="AQ4:BH7"/>
    <mergeCell ref="BK2:CB3"/>
    <mergeCell ref="BK4:CB7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300DF24-F877-4DDE-8C57-5140F86BB580}">
  <ds:schemaRefs/>
</ds:datastoreItem>
</file>

<file path=customXml/itemProps2.xml><?xml version="1.0" encoding="utf-8"?>
<ds:datastoreItem xmlns:ds="http://schemas.openxmlformats.org/officeDocument/2006/customXml" ds:itemID="{3EC6CA16-9DBC-432D-AED0-904ED0D6914D}">
  <ds:schemaRefs/>
</ds:datastoreItem>
</file>

<file path=customXml/itemProps3.xml><?xml version="1.0" encoding="utf-8"?>
<ds:datastoreItem xmlns:ds="http://schemas.openxmlformats.org/officeDocument/2006/customXml" ds:itemID="{CBE691BD-8F99-4C33-BC60-FFEAB5515938}">
  <ds:schemaRefs/>
</ds:datastoreItem>
</file>

<file path=customXml/itemProps4.xml><?xml version="1.0" encoding="utf-8"?>
<ds:datastoreItem xmlns:ds="http://schemas.openxmlformats.org/officeDocument/2006/customXml" ds:itemID="{F9682A59-D997-4DAB-A3E3-207F56E23691}">
  <ds:schemaRefs/>
</ds:datastoreItem>
</file>

<file path=customXml/itemProps5.xml><?xml version="1.0" encoding="utf-8"?>
<ds:datastoreItem xmlns:ds="http://schemas.openxmlformats.org/officeDocument/2006/customXml" ds:itemID="{ED4A05D6-623C-42E8-A142-20457A4DBF76}">
  <ds:schemaRefs/>
</ds:datastoreItem>
</file>

<file path=customXml/itemProps6.xml><?xml version="1.0" encoding="utf-8"?>
<ds:datastoreItem xmlns:ds="http://schemas.openxmlformats.org/officeDocument/2006/customXml" ds:itemID="{D7C9488F-422A-4EF4-BCDA-909CA3CF8E4D}">
  <ds:schemaRefs/>
</ds:datastoreItem>
</file>

<file path=customXml/itemProps7.xml><?xml version="1.0" encoding="utf-8"?>
<ds:datastoreItem xmlns:ds="http://schemas.openxmlformats.org/officeDocument/2006/customXml" ds:itemID="{7E81E613-E071-4D35-BB7B-EFCEC0A47561}">
  <ds:schemaRefs/>
</ds:datastoreItem>
</file>

<file path=customXml/itemProps8.xml><?xml version="1.0" encoding="utf-8"?>
<ds:datastoreItem xmlns:ds="http://schemas.openxmlformats.org/officeDocument/2006/customXml" ds:itemID="{CBE3E585-6A65-4C70-A5A5-8D9A6C5B4E84}">
  <ds:schemaRefs/>
</ds:datastoreItem>
</file>

<file path=customXml/itemProps9.xml><?xml version="1.0" encoding="utf-8"?>
<ds:datastoreItem xmlns:ds="http://schemas.openxmlformats.org/officeDocument/2006/customXml" ds:itemID="{8A1649F3-F7C4-4DC1-9C5A-DCF36DCE3D22}">
  <ds:schemaRefs/>
</ds:datastoreItem>
</file>

<file path=customXml/itemProps10.xml><?xml version="1.0" encoding="utf-8"?>
<ds:datastoreItem xmlns:ds="http://schemas.openxmlformats.org/officeDocument/2006/customXml" ds:itemID="{8B2391F3-24C7-4A26-B338-4A56B014AEEF}">
  <ds:schemaRefs/>
</ds:datastoreItem>
</file>

<file path=customXml/itemProps11.xml><?xml version="1.0" encoding="utf-8"?>
<ds:datastoreItem xmlns:ds="http://schemas.openxmlformats.org/officeDocument/2006/customXml" ds:itemID="{1C556CEF-C3EA-4FDE-A151-78D1F7D5D769}">
  <ds:schemaRefs/>
</ds:datastoreItem>
</file>

<file path=customXml/itemProps12.xml><?xml version="1.0" encoding="utf-8"?>
<ds:datastoreItem xmlns:ds="http://schemas.openxmlformats.org/officeDocument/2006/customXml" ds:itemID="{A33BEF08-D3D3-478A-973B-36CD563C41FE}">
  <ds:schemaRefs/>
</ds:datastoreItem>
</file>

<file path=customXml/itemProps13.xml><?xml version="1.0" encoding="utf-8"?>
<ds:datastoreItem xmlns:ds="http://schemas.openxmlformats.org/officeDocument/2006/customXml" ds:itemID="{38FA8635-20EC-48DE-9602-227D933DAC11}">
  <ds:schemaRefs/>
</ds:datastoreItem>
</file>

<file path=customXml/itemProps14.xml><?xml version="1.0" encoding="utf-8"?>
<ds:datastoreItem xmlns:ds="http://schemas.openxmlformats.org/officeDocument/2006/customXml" ds:itemID="{3CC35186-A1CE-442A-8B92-04637D53D5F2}">
  <ds:schemaRefs/>
</ds:datastoreItem>
</file>

<file path=customXml/itemProps15.xml><?xml version="1.0" encoding="utf-8"?>
<ds:datastoreItem xmlns:ds="http://schemas.openxmlformats.org/officeDocument/2006/customXml" ds:itemID="{934890B3-CDC1-44C5-A0CB-662A92F500F0}">
  <ds:schemaRefs/>
</ds:datastoreItem>
</file>

<file path=customXml/itemProps16.xml><?xml version="1.0" encoding="utf-8"?>
<ds:datastoreItem xmlns:ds="http://schemas.openxmlformats.org/officeDocument/2006/customXml" ds:itemID="{5FC146A3-14EB-42BE-AF35-DC735D996EFE}">
  <ds:schemaRefs/>
</ds:datastoreItem>
</file>

<file path=customXml/itemProps17.xml><?xml version="1.0" encoding="utf-8"?>
<ds:datastoreItem xmlns:ds="http://schemas.openxmlformats.org/officeDocument/2006/customXml" ds:itemID="{02EF8C0C-A163-4BDA-8211-C097D20E9916}">
  <ds:schemaRefs/>
</ds:datastoreItem>
</file>

<file path=customXml/itemProps18.xml><?xml version="1.0" encoding="utf-8"?>
<ds:datastoreItem xmlns:ds="http://schemas.openxmlformats.org/officeDocument/2006/customXml" ds:itemID="{23872AB0-2F63-46EC-811F-3F18ADD4F6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DN_Produtos</vt:lpstr>
      <vt:lpstr>DN_Vendas</vt:lpstr>
      <vt:lpstr>Cadastros Auxiliares</vt:lpstr>
      <vt:lpstr>DN_Vendedores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Samir Oliveira</cp:lastModifiedBy>
  <cp:lastPrinted>2023-06-07T14:57:58Z</cp:lastPrinted>
  <dcterms:created xsi:type="dcterms:W3CDTF">2023-06-02T17:54:12Z</dcterms:created>
  <dcterms:modified xsi:type="dcterms:W3CDTF">2025-11-08T02:45:39Z</dcterms:modified>
</cp:coreProperties>
</file>