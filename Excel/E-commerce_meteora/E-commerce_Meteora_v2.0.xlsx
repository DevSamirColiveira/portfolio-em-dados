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Excel/E-commerce_meteora/"/>
    </mc:Choice>
  </mc:AlternateContent>
  <xr:revisionPtr revIDLastSave="80" documentId="8_{9FBF241B-5C5A-49B3-8CAF-940A69EAA5E1}" xr6:coauthVersionLast="47" xr6:coauthVersionMax="47" xr10:uidLastSave="{89DF9D07-A934-4835-93A5-1BBACE130242}"/>
  <bookViews>
    <workbookView xWindow="28830" yWindow="30" windowWidth="22920" windowHeight="14085" tabRatio="698" xr2:uid="{F6D97A53-F63B-4272-A181-44B26E0B790F}"/>
  </bookViews>
  <sheets>
    <sheet name="Menu" sheetId="25" r:id="rId1"/>
    <sheet name="Produtos" sheetId="17" r:id="rId2"/>
    <sheet name="Vendas" sheetId="16" r:id="rId3"/>
    <sheet name="Vendedores" sheetId="28" r:id="rId4"/>
    <sheet name="Consultas" sheetId="24" r:id="rId5"/>
    <sheet name="Cadastros Auxiliares" sheetId="23" state="hidden" r:id="rId6"/>
    <sheet name="Dados para Gráficos" sheetId="19" state="hidden" r:id="rId7"/>
    <sheet name="Dashboard" sheetId="18" state="hidden" r:id="rId8"/>
  </sheets>
  <definedNames>
    <definedName name="_xlnm._FilterDatabase" localSheetId="2" hidden="1">Vendas!$C$4:$F$86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Categoria">TB_Produtos[[#All],[Categoria]]</definedName>
    <definedName name="Int_Codigo">TB_Produtos[[#All],[Código]]</definedName>
    <definedName name="Int_Estoque">TB_Produtos[[#All],[Estoque]]</definedName>
    <definedName name="Int_Nome_Produtos">#REF!</definedName>
    <definedName name="Int_PrecoUnit">TB_Produtos[[#All],[Preço Unitário]]</definedName>
    <definedName name="Int_Produtos">TB_Produtos[[#All],[Produtos]]</definedName>
    <definedName name="Int_Quantidade">#REF!</definedName>
    <definedName name="Int_Tamanho">TB_Produtos[[#All],[Tamanho]]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9" l="1"/>
  <c r="B2" i="19"/>
  <c r="B3" i="19"/>
  <c r="L2" i="19" l="1"/>
  <c r="F8" i="24"/>
  <c r="H5" i="16" l="1"/>
  <c r="I5" i="16" s="1"/>
  <c r="H6" i="16"/>
  <c r="I6" i="16" s="1"/>
  <c r="H7" i="16"/>
  <c r="I7" i="16" s="1"/>
  <c r="H8" i="16"/>
  <c r="I8" i="16" s="1"/>
  <c r="H9" i="16"/>
  <c r="I9" i="16" s="1"/>
  <c r="H10" i="16"/>
  <c r="I10" i="16" s="1"/>
  <c r="H11" i="16"/>
  <c r="I11" i="16" s="1"/>
  <c r="H12" i="16"/>
  <c r="I12" i="16" s="1"/>
  <c r="H13" i="16"/>
  <c r="I13" i="16" s="1"/>
  <c r="H14" i="16"/>
  <c r="I14" i="16" s="1"/>
  <c r="H15" i="16"/>
  <c r="I15" i="16" s="1"/>
  <c r="H16" i="16"/>
  <c r="I16" i="16" s="1"/>
  <c r="H17" i="16"/>
  <c r="I17" i="16" s="1"/>
  <c r="H18" i="16"/>
  <c r="I18" i="16" s="1"/>
  <c r="H19" i="16"/>
  <c r="I19" i="16" s="1"/>
  <c r="H20" i="16"/>
  <c r="I20" i="16" s="1"/>
  <c r="H21" i="16"/>
  <c r="I21" i="16" s="1"/>
  <c r="H22" i="16"/>
  <c r="I22" i="16" s="1"/>
  <c r="H23" i="16"/>
  <c r="I23" i="16" s="1"/>
  <c r="H24" i="16"/>
  <c r="I24" i="16" s="1"/>
  <c r="H25" i="16"/>
  <c r="I25" i="16" s="1"/>
  <c r="H26" i="16"/>
  <c r="I26" i="16" s="1"/>
  <c r="H27" i="16"/>
  <c r="I27" i="16" s="1"/>
  <c r="H28" i="16"/>
  <c r="I28" i="16" s="1"/>
  <c r="H29" i="16"/>
  <c r="I29" i="16" s="1"/>
  <c r="H30" i="16"/>
  <c r="I30" i="16" s="1"/>
  <c r="H31" i="16"/>
  <c r="I31" i="16" s="1"/>
  <c r="H32" i="16"/>
  <c r="I32" i="16" s="1"/>
  <c r="H33" i="16"/>
  <c r="I33" i="16" s="1"/>
  <c r="H34" i="16"/>
  <c r="I34" i="16" s="1"/>
  <c r="H35" i="16"/>
  <c r="I35" i="16" s="1"/>
  <c r="H36" i="16"/>
  <c r="I36" i="16" s="1"/>
  <c r="H37" i="16"/>
  <c r="I37" i="16" s="1"/>
  <c r="H38" i="16"/>
  <c r="I38" i="16" s="1"/>
  <c r="H39" i="16"/>
  <c r="I39" i="16" s="1"/>
  <c r="H40" i="16"/>
  <c r="I40" i="16" s="1"/>
  <c r="H41" i="16"/>
  <c r="I41" i="16" s="1"/>
  <c r="H42" i="16"/>
  <c r="I42" i="16" s="1"/>
  <c r="H43" i="16"/>
  <c r="I43" i="16" s="1"/>
  <c r="H44" i="16"/>
  <c r="I44" i="16" s="1"/>
  <c r="H45" i="16"/>
  <c r="I45" i="16" s="1"/>
  <c r="H46" i="16"/>
  <c r="I46" i="16" s="1"/>
  <c r="H47" i="16"/>
  <c r="I47" i="16" s="1"/>
  <c r="H48" i="16"/>
  <c r="I48" i="16" s="1"/>
  <c r="H49" i="16"/>
  <c r="I49" i="16" s="1"/>
  <c r="H50" i="16"/>
  <c r="I50" i="16" s="1"/>
  <c r="H51" i="16"/>
  <c r="I51" i="16" s="1"/>
  <c r="H52" i="16"/>
  <c r="I52" i="16" s="1"/>
  <c r="H53" i="16"/>
  <c r="I53" i="16" s="1"/>
  <c r="H54" i="16"/>
  <c r="I54" i="16" s="1"/>
  <c r="H55" i="16"/>
  <c r="I55" i="16" s="1"/>
  <c r="H56" i="16"/>
  <c r="I56" i="16" s="1"/>
  <c r="H57" i="16"/>
  <c r="I57" i="16" s="1"/>
  <c r="H58" i="16"/>
  <c r="I58" i="16" s="1"/>
  <c r="H59" i="16"/>
  <c r="I59" i="16" s="1"/>
  <c r="H60" i="16"/>
  <c r="I60" i="16" s="1"/>
  <c r="H61" i="16"/>
  <c r="I61" i="16" s="1"/>
  <c r="H62" i="16"/>
  <c r="I62" i="16" s="1"/>
  <c r="H63" i="16"/>
  <c r="I63" i="16" s="1"/>
  <c r="H64" i="16"/>
  <c r="I64" i="16" s="1"/>
  <c r="H65" i="16"/>
  <c r="I65" i="16" s="1"/>
  <c r="H66" i="16"/>
  <c r="I66" i="16" s="1"/>
  <c r="H67" i="16"/>
  <c r="I67" i="16" s="1"/>
  <c r="H68" i="16"/>
  <c r="I68" i="16" s="1"/>
  <c r="H69" i="16"/>
  <c r="I69" i="16" s="1"/>
  <c r="H70" i="16"/>
  <c r="I70" i="16" s="1"/>
  <c r="H71" i="16"/>
  <c r="I71" i="16" s="1"/>
  <c r="H72" i="16"/>
  <c r="I72" i="16" s="1"/>
  <c r="H73" i="16"/>
  <c r="I73" i="16" s="1"/>
  <c r="H74" i="16"/>
  <c r="I74" i="16" s="1"/>
  <c r="H75" i="16"/>
  <c r="I75" i="16" s="1"/>
  <c r="H76" i="16"/>
  <c r="I76" i="16" s="1"/>
  <c r="H77" i="16"/>
  <c r="I77" i="16" s="1"/>
  <c r="H78" i="16"/>
  <c r="I78" i="16" s="1"/>
  <c r="H79" i="16"/>
  <c r="I79" i="16" s="1"/>
  <c r="H80" i="16"/>
  <c r="I80" i="16" s="1"/>
  <c r="H81" i="16"/>
  <c r="I81" i="16" s="1"/>
  <c r="H82" i="16"/>
  <c r="I82" i="16" s="1"/>
  <c r="H83" i="16"/>
  <c r="I83" i="16" s="1"/>
  <c r="H84" i="16"/>
  <c r="I84" i="16" s="1"/>
  <c r="H85" i="16"/>
  <c r="I85" i="16" s="1"/>
  <c r="H86" i="16"/>
  <c r="I86" i="16" s="1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J5" i="16" a="1"/>
  <c r="J5" i="16" s="1"/>
  <c r="L5" i="16" s="1"/>
  <c r="J6" i="16" a="1"/>
  <c r="J6" i="16" s="1"/>
  <c r="L6" i="16" s="1"/>
  <c r="J7" i="16" a="1"/>
  <c r="J7" i="16" s="1"/>
  <c r="L7" i="16" s="1"/>
  <c r="J8" i="16" a="1"/>
  <c r="J8" i="16" s="1"/>
  <c r="J9" i="16" a="1"/>
  <c r="J9" i="16" s="1"/>
  <c r="J10" i="16" a="1"/>
  <c r="J10" i="16" s="1"/>
  <c r="L10" i="16" s="1"/>
  <c r="J11" i="16" a="1"/>
  <c r="J11" i="16" s="1"/>
  <c r="L11" i="16" s="1"/>
  <c r="J12" i="16" a="1"/>
  <c r="J12" i="16" s="1"/>
  <c r="L12" i="16" s="1"/>
  <c r="J13" i="16" a="1"/>
  <c r="J13" i="16" s="1"/>
  <c r="J14" i="16" a="1"/>
  <c r="J14" i="16" s="1"/>
  <c r="L14" i="16" s="1"/>
  <c r="J15" i="16" a="1"/>
  <c r="J15" i="16" s="1"/>
  <c r="L15" i="16" s="1"/>
  <c r="J16" i="16" a="1"/>
  <c r="J16" i="16" s="1"/>
  <c r="L16" i="16" s="1"/>
  <c r="J17" i="16" a="1"/>
  <c r="J17" i="16" s="1"/>
  <c r="J18" i="16" a="1"/>
  <c r="J18" i="16" s="1"/>
  <c r="J19" i="16" a="1"/>
  <c r="J19" i="16" s="1"/>
  <c r="L19" i="16" s="1"/>
  <c r="J20" i="16" a="1"/>
  <c r="J20" i="16" s="1"/>
  <c r="L20" i="16" s="1"/>
  <c r="J21" i="16" a="1"/>
  <c r="J21" i="16" s="1"/>
  <c r="L21" i="16" s="1"/>
  <c r="J22" i="16" a="1"/>
  <c r="J22" i="16" s="1"/>
  <c r="L22" i="16" s="1"/>
  <c r="J23" i="16" a="1"/>
  <c r="J23" i="16" s="1"/>
  <c r="L23" i="16" s="1"/>
  <c r="J24" i="16" a="1"/>
  <c r="J24" i="16" s="1"/>
  <c r="L24" i="16" s="1"/>
  <c r="J25" i="16" a="1"/>
  <c r="J25" i="16" s="1"/>
  <c r="J26" i="16" a="1"/>
  <c r="J26" i="16" s="1"/>
  <c r="L26" i="16" s="1"/>
  <c r="J27" i="16" a="1"/>
  <c r="J27" i="16" s="1"/>
  <c r="L27" i="16" s="1"/>
  <c r="J28" i="16" a="1"/>
  <c r="J28" i="16" s="1"/>
  <c r="L28" i="16" s="1"/>
  <c r="J29" i="16" a="1"/>
  <c r="J29" i="16" s="1"/>
  <c r="J30" i="16" a="1"/>
  <c r="J30" i="16" s="1"/>
  <c r="L30" i="16" s="1"/>
  <c r="J31" i="16" a="1"/>
  <c r="J31" i="16" s="1"/>
  <c r="L31" i="16" s="1"/>
  <c r="J32" i="16" a="1"/>
  <c r="J32" i="16" s="1"/>
  <c r="L32" i="16" s="1"/>
  <c r="J33" i="16" a="1"/>
  <c r="J33" i="16" s="1"/>
  <c r="J34" i="16" a="1"/>
  <c r="J34" i="16" s="1"/>
  <c r="J35" i="16" a="1"/>
  <c r="J35" i="16" s="1"/>
  <c r="L35" i="16" s="1"/>
  <c r="J36" i="16" a="1"/>
  <c r="J36" i="16" s="1"/>
  <c r="L36" i="16" s="1"/>
  <c r="J37" i="16" a="1"/>
  <c r="J37" i="16" s="1"/>
  <c r="L37" i="16" s="1"/>
  <c r="J38" i="16" a="1"/>
  <c r="J38" i="16" s="1"/>
  <c r="L38" i="16" s="1"/>
  <c r="J39" i="16" a="1"/>
  <c r="J39" i="16" s="1"/>
  <c r="L39" i="16" s="1"/>
  <c r="J40" i="16" a="1"/>
  <c r="J40" i="16" s="1"/>
  <c r="L40" i="16" s="1"/>
  <c r="J41" i="16" a="1"/>
  <c r="J41" i="16" s="1"/>
  <c r="J42" i="16" a="1"/>
  <c r="J42" i="16" s="1"/>
  <c r="L42" i="16" s="1"/>
  <c r="J43" i="16" a="1"/>
  <c r="J43" i="16" s="1"/>
  <c r="L43" i="16" s="1"/>
  <c r="J44" i="16" a="1"/>
  <c r="J44" i="16" s="1"/>
  <c r="L44" i="16" s="1"/>
  <c r="J45" i="16" a="1"/>
  <c r="J45" i="16" s="1"/>
  <c r="J46" i="16" a="1"/>
  <c r="J46" i="16" s="1"/>
  <c r="L46" i="16" s="1"/>
  <c r="J47" i="16" a="1"/>
  <c r="J47" i="16" s="1"/>
  <c r="L47" i="16" s="1"/>
  <c r="J48" i="16" a="1"/>
  <c r="J48" i="16" s="1"/>
  <c r="L48" i="16" s="1"/>
  <c r="J49" i="16" a="1"/>
  <c r="J49" i="16" s="1"/>
  <c r="J50" i="16" a="1"/>
  <c r="J50" i="16" s="1"/>
  <c r="J51" i="16" a="1"/>
  <c r="J51" i="16" s="1"/>
  <c r="L51" i="16" s="1"/>
  <c r="J52" i="16" a="1"/>
  <c r="J52" i="16" s="1"/>
  <c r="L52" i="16" s="1"/>
  <c r="J53" i="16" a="1"/>
  <c r="J53" i="16" s="1"/>
  <c r="L53" i="16" s="1"/>
  <c r="J54" i="16" a="1"/>
  <c r="J54" i="16" s="1"/>
  <c r="L54" i="16" s="1"/>
  <c r="J55" i="16" a="1"/>
  <c r="J55" i="16" s="1"/>
  <c r="L55" i="16" s="1"/>
  <c r="J56" i="16" a="1"/>
  <c r="J56" i="16" s="1"/>
  <c r="L56" i="16" s="1"/>
  <c r="J57" i="16" a="1"/>
  <c r="J57" i="16" s="1"/>
  <c r="L57" i="16" s="1"/>
  <c r="J58" i="16" a="1"/>
  <c r="J58" i="16" s="1"/>
  <c r="L58" i="16" s="1"/>
  <c r="J59" i="16" a="1"/>
  <c r="J59" i="16" s="1"/>
  <c r="L59" i="16" s="1"/>
  <c r="J60" i="16" a="1"/>
  <c r="J60" i="16" s="1"/>
  <c r="L60" i="16" s="1"/>
  <c r="J61" i="16" a="1"/>
  <c r="J61" i="16" s="1"/>
  <c r="J62" i="16" a="1"/>
  <c r="J62" i="16" s="1"/>
  <c r="L62" i="16" s="1"/>
  <c r="J63" i="16" a="1"/>
  <c r="J63" i="16" s="1"/>
  <c r="L63" i="16" s="1"/>
  <c r="J64" i="16" a="1"/>
  <c r="J64" i="16" s="1"/>
  <c r="L64" i="16" s="1"/>
  <c r="J65" i="16" a="1"/>
  <c r="J65" i="16" s="1"/>
  <c r="J66" i="16" a="1"/>
  <c r="J66" i="16" s="1"/>
  <c r="J67" i="16" a="1"/>
  <c r="J67" i="16" s="1"/>
  <c r="L67" i="16" s="1"/>
  <c r="J68" i="16" a="1"/>
  <c r="J68" i="16" s="1"/>
  <c r="L68" i="16" s="1"/>
  <c r="J69" i="16" a="1"/>
  <c r="J69" i="16" s="1"/>
  <c r="L69" i="16" s="1"/>
  <c r="J70" i="16" a="1"/>
  <c r="J70" i="16" s="1"/>
  <c r="L70" i="16" s="1"/>
  <c r="J71" i="16" a="1"/>
  <c r="J71" i="16" s="1"/>
  <c r="L71" i="16" s="1"/>
  <c r="J72" i="16" a="1"/>
  <c r="J72" i="16" s="1"/>
  <c r="L72" i="16" s="1"/>
  <c r="J73" i="16" a="1"/>
  <c r="J73" i="16" s="1"/>
  <c r="L73" i="16" s="1"/>
  <c r="J74" i="16" a="1"/>
  <c r="J74" i="16" s="1"/>
  <c r="L74" i="16" s="1"/>
  <c r="J75" i="16" a="1"/>
  <c r="J75" i="16" s="1"/>
  <c r="L75" i="16" s="1"/>
  <c r="J76" i="16" a="1"/>
  <c r="J76" i="16" s="1"/>
  <c r="L76" i="16" s="1"/>
  <c r="J77" i="16" a="1"/>
  <c r="J77" i="16" s="1"/>
  <c r="J78" i="16" a="1"/>
  <c r="J78" i="16" s="1"/>
  <c r="L78" i="16" s="1"/>
  <c r="J79" i="16" a="1"/>
  <c r="J79" i="16" s="1"/>
  <c r="L79" i="16" s="1"/>
  <c r="J80" i="16" a="1"/>
  <c r="J80" i="16" s="1"/>
  <c r="L80" i="16" s="1"/>
  <c r="J81" i="16" a="1"/>
  <c r="J81" i="16" s="1"/>
  <c r="J82" i="16" a="1"/>
  <c r="J82" i="16" s="1"/>
  <c r="J83" i="16" a="1"/>
  <c r="J83" i="16" s="1"/>
  <c r="L83" i="16" s="1"/>
  <c r="J84" i="16" a="1"/>
  <c r="J84" i="16" s="1"/>
  <c r="L84" i="16" s="1"/>
  <c r="J85" i="16" a="1"/>
  <c r="J85" i="16" s="1"/>
  <c r="L85" i="16" s="1"/>
  <c r="J86" i="16" a="1"/>
  <c r="J86" i="16" s="1"/>
  <c r="L86" i="16" s="1"/>
  <c r="F17" i="23"/>
  <c r="F16" i="23"/>
  <c r="F18" i="23" a="1"/>
  <c r="F18" i="23" s="1"/>
  <c r="C18" i="23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C11" i="24"/>
  <c r="C7" i="24"/>
  <c r="C8" i="24"/>
  <c r="C9" i="24"/>
  <c r="C10" i="24"/>
  <c r="F7" i="24"/>
  <c r="F9" i="24"/>
  <c r="L77" i="16" l="1"/>
  <c r="L61" i="16"/>
  <c r="L45" i="16"/>
  <c r="L29" i="16"/>
  <c r="L13" i="16"/>
  <c r="L41" i="16"/>
  <c r="L25" i="16"/>
  <c r="L9" i="16"/>
  <c r="L8" i="16"/>
  <c r="L81" i="16"/>
  <c r="L65" i="16"/>
  <c r="L49" i="16"/>
  <c r="L82" i="16"/>
  <c r="L66" i="16"/>
  <c r="L50" i="16"/>
  <c r="L34" i="16"/>
  <c r="L18" i="16"/>
  <c r="L33" i="16"/>
  <c r="L17" i="16"/>
  <c r="D17" i="23"/>
  <c r="C12" i="24" a="1"/>
  <c r="C12" i="24" s="1"/>
  <c r="C13" i="24"/>
  <c r="M68" i="16"/>
  <c r="M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M83" i="16" l="1"/>
  <c r="M75" i="16"/>
  <c r="M73" i="16"/>
  <c r="M65" i="16"/>
  <c r="M64" i="16"/>
  <c r="M79" i="16"/>
  <c r="M71" i="16"/>
  <c r="M80" i="16"/>
  <c r="M72" i="16"/>
  <c r="M84" i="16"/>
  <c r="M67" i="16"/>
  <c r="M82" i="16"/>
  <c r="M74" i="16"/>
  <c r="M66" i="16"/>
  <c r="M86" i="16"/>
  <c r="M78" i="16"/>
  <c r="M70" i="16"/>
  <c r="M85" i="16"/>
  <c r="M77" i="16"/>
  <c r="M69" i="16"/>
  <c r="M81" i="16"/>
  <c r="M5" i="16" l="1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L3" i="19" l="1"/>
  <c r="L4" i="19"/>
  <c r="BK4" i="18"/>
  <c r="AQ4" i="18"/>
  <c r="W4" i="18"/>
  <c r="J4" i="19" l="1"/>
  <c r="K4" i="19" s="1"/>
  <c r="J2" i="19"/>
  <c r="K2" i="19" s="1"/>
  <c r="J3" i="19"/>
  <c r="K3" i="19" s="1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  <c r="G3" i="19" l="1"/>
  <c r="G4" i="19"/>
  <c r="G5" i="19"/>
  <c r="G6" i="19"/>
  <c r="G7" i="19"/>
  <c r="G2" i="19"/>
  <c r="F3" i="19"/>
  <c r="F4" i="19"/>
  <c r="F6" i="19"/>
  <c r="F7" i="19"/>
  <c r="F2" i="19"/>
  <c r="F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Samir Oliveira</author>
  </authors>
  <commentList>
    <comment ref="C6" authorId="0" shapeId="0" xr:uid="{8486D932-1291-4212-AA72-D9D3806A5484}">
      <text>
        <r>
          <rPr>
            <b/>
            <sz val="9"/>
            <color indexed="81"/>
            <rFont val="Segoe UI"/>
            <family val="2"/>
          </rPr>
          <t>Samir Oliveira:</t>
        </r>
        <r>
          <rPr>
            <sz val="9"/>
            <color indexed="81"/>
            <rFont val="Segoe UI"/>
            <family val="2"/>
          </rPr>
          <t xml:space="preserve">
Para os testes de Formatção Condicional.
Cod.
PRO46
PRO19
PRO59</t>
        </r>
      </text>
    </comment>
    <comment ref="C12" authorId="0" shapeId="0" xr:uid="{262BCAC1-9677-43B4-9756-06FB40DF909D}">
      <text>
        <r>
          <rPr>
            <b/>
            <sz val="9"/>
            <color indexed="81"/>
            <rFont val="Segoe UI"/>
            <family val="2"/>
          </rPr>
          <t>Samir Oliveira:</t>
        </r>
        <r>
          <rPr>
            <sz val="9"/>
            <color indexed="81"/>
            <rFont val="Segoe UI"/>
            <family val="2"/>
          </rPr>
          <t xml:space="preserve">
=SES($C$11=0;"Zerou o Estoque";$C$11&gt;=10;"Estoque em Dia";1;"Rever o Estoque")
</t>
        </r>
        <r>
          <rPr>
            <b/>
            <sz val="9"/>
            <color indexed="81"/>
            <rFont val="Segoe UI"/>
            <family val="2"/>
          </rPr>
          <t>Com o Estoque Mínimo:</t>
        </r>
        <r>
          <rPr>
            <sz val="9"/>
            <color indexed="81"/>
            <rFont val="Segoe UI"/>
            <family val="2"/>
          </rPr>
          <t xml:space="preserve">
=SES($C$11=0;"Zerou o Estoque";$C$11&gt;PROCX(C9;'Cadastros Auxiliares'!G9:G11;'Cadastros Auxiliares'!H9:H11;"");"Estoque em Dia";1;"Rever o Estoque")</t>
        </r>
      </text>
    </comment>
    <comment ref="C13" authorId="0" shapeId="0" xr:uid="{F1BCBEAB-40F1-4E9F-A8B8-11B0158E86C9}">
      <text>
        <r>
          <rPr>
            <b/>
            <sz val="9"/>
            <color indexed="81"/>
            <rFont val="Segoe UI"/>
            <family val="2"/>
          </rPr>
          <t>Samir Oliveira:</t>
        </r>
        <r>
          <rPr>
            <sz val="9"/>
            <color indexed="81"/>
            <rFont val="Segoe UI"/>
            <family val="2"/>
          </rPr>
          <t xml:space="preserve">
=SE(C11&gt;=10;"Estoque OK";SE(C11=0;"Estoque Zerado";"Estoque Baixo"))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<sst xmlns="http://schemas.openxmlformats.org/spreadsheetml/2006/main" count="504" uniqueCount="176">
  <si>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</si>
  <si>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</si>
  <si>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</si>
  <si>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</si>
  <si>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</si>
  <si>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</si>
  <si>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</si>
  <si>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</si>
  <si>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</si>
  <si>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</si>
  <si>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</si>
  <si>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</si>
  <si>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</si>
  <si>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</si>
  <si>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</si>
  <si>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</si>
  <si>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</si>
  <si>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</si>
  <si>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</si>
  <si>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</si>
  <si>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</si>
  <si>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</si>
  <si>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</si>
  <si>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</si>
  <si>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</si>
  <si>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</si>
  <si>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</si>
  <si>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</si>
  <si>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</si>
  <si>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</si>
  <si>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</si>
  <si>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</si>
  <si>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</si>
  <si>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</si>
  <si>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</si>
  <si>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</si>
  <si>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</si>
  <si>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</si>
  <si>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</si>
  <si>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</si>
  <si>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</si>
  <si>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</si>
  <si>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</si>
  <si>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</si>
  <si>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</si>
  <si>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</si>
  <si>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</si>
  <si>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</si>
  <si>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</si>
  <si>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</si>
  <si>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</si>
  <si>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</si>
  <si>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</si>
  <si>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</si>
  <si>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</si>
  <si>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</si>
  <si>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</si>
  <si>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</si>
  <si>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</si>
  <si>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</si>
  <si>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</si>
  <si>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</si>
  <si>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</si>
  <si>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</si>
  <si>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</si>
  <si>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</si>
  <si>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</si>
  <si>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</si>
  <si>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</si>
  <si>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</si>
  <si>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</si>
  <si>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</si>
  <si>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</si>
  <si>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</si>
  <si>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</si>
  <si>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</si>
  <si>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</si>
  <si>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</si>
  <si>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</si>
  <si>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</si>
  <si>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</si>
  <si>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</si>
  <si>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</si>
  <si>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</si>
  <si>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</si>
  <si>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</si>
  <si>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</si>
  <si>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</si>
  <si>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</si>
  <si>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</si>
  <si>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</si>
  <si>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</si>
  <si>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</si>
  <si>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</si>
  <si>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Restante</t>
  </si>
  <si>
    <t>% Vendas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</si>
  <si>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</si>
  <si>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</si>
  <si>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</si>
  <si>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</si>
  <si>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</si>
  <si>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</si>
  <si>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</si>
  <si>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</si>
  <si>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</si>
  <si>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</si>
  <si>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</si>
  <si>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</si>
  <si>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</si>
  <si>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</si>
  <si>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</si>
  <si>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</si>
  <si>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</si>
  <si>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</si>
  <si>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</si>
  <si>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</si>
  <si>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</si>
  <si>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</si>
  <si>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</si>
  <si>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</si>
  <si>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</si>
  <si>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</si>
  <si>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</si>
  <si>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</si>
  <si>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</si>
  <si>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</si>
  <si>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</si>
  <si>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</si>
  <si>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</si>
  <si>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</si>
  <si>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</si>
  <si>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</si>
  <si>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</si>
  <si>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</si>
  <si>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</si>
  <si>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</si>
  <si>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</si>
  <si>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</si>
  <si>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</si>
  <si>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</si>
  <si>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</si>
  <si>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</si>
  <si>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</si>
  <si>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</si>
  <si>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</si>
  <si>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</si>
  <si>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</si>
  <si>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</si>
  <si>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</si>
  <si>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</si>
  <si>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</si>
  <si>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</si>
  <si>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</si>
  <si>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</si>
  <si>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</si>
  <si>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</si>
  <si>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</si>
  <si>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</si>
  <si>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</si>
  <si>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</si>
  <si>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</si>
  <si>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</si>
  <si>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</si>
  <si>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</si>
  <si>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</si>
  <si>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>Estoque Mínimo</t>
  </si>
  <si>
    <t xml:space="preserve">1º Situação: </t>
  </si>
  <si>
    <t xml:space="preserve">2º Situação: </t>
  </si>
  <si>
    <t xml:space="preserve"> </t>
  </si>
  <si>
    <t>Coluna</t>
  </si>
  <si>
    <t>Linha</t>
  </si>
  <si>
    <t>Índece</t>
  </si>
  <si>
    <t>Desconto 
(Passo a Passo)</t>
  </si>
  <si>
    <t>Desconto 
(Diretão)</t>
  </si>
  <si>
    <t>Desconto 
(Vendedor)</t>
  </si>
  <si>
    <t>Desconto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</si>
</sst>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30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8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1" fillId="0" borderId="18" xfId="0" applyFont="1" applyBorder="1"/>
    <xf numFmtId="0" fontId="0" fillId="0" borderId="3" xfId="0" applyBorder="1"/>
    <xf numFmtId="0" fontId="0" fillId="0" borderId="6" xfId="0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0" fillId="0" borderId="20" xfId="5" applyNumberFormat="1" applyFont="1" applyBorder="1" applyAlignment="1">
      <alignment horizontal="center" vertical="center"/>
    </xf>
    <xf numFmtId="10" fontId="0" fillId="0" borderId="21" xfId="5" applyNumberFormat="1" applyFont="1" applyBorder="1" applyAlignment="1">
      <alignment horizontal="center" vertical="center"/>
    </xf>
    <xf numFmtId="9" fontId="0" fillId="0" borderId="20" xfId="5" applyFont="1" applyBorder="1" applyAlignment="1">
      <alignment horizontal="center" vertical="center"/>
    </xf>
    <xf numFmtId="9" fontId="0" fillId="0" borderId="21" xfId="5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9" fontId="0" fillId="0" borderId="0" xfId="5" applyFont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8" fillId="3" borderId="0" xfId="0" applyFont="1" applyFill="1"/>
    <xf numFmtId="0" fontId="1" fillId="7" borderId="0" xfId="0" applyFont="1" applyFill="1" applyAlignment="1">
      <alignment horizontal="center"/>
    </xf>
    <xf numFmtId="0" fontId="20" fillId="3" borderId="0" xfId="0" applyFont="1" applyFill="1" applyAlignment="1">
      <alignment vertical="center"/>
    </xf>
    <xf numFmtId="0" fontId="22" fillId="0" borderId="0" xfId="6" applyFont="1" applyFill="1" applyAlignment="1">
      <alignment horizontal="center"/>
    </xf>
    <xf numFmtId="0" fontId="23" fillId="3" borderId="0" xfId="0" applyFont="1" applyFill="1" applyAlignment="1">
      <alignment vertical="center"/>
    </xf>
    <xf numFmtId="0" fontId="24" fillId="7" borderId="2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4" fillId="7" borderId="27" xfId="0" applyFont="1" applyFill="1" applyBorder="1" applyAlignment="1">
      <alignment horizontal="center" vertical="center"/>
    </xf>
    <xf numFmtId="0" fontId="15" fillId="2" borderId="24" xfId="3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9" fontId="16" fillId="0" borderId="7" xfId="5" applyFont="1" applyBorder="1" applyAlignment="1">
      <alignment horizontal="center" vertical="center"/>
    </xf>
    <xf numFmtId="0" fontId="15" fillId="2" borderId="31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/>
    </xf>
    <xf numFmtId="9" fontId="16" fillId="0" borderId="31" xfId="5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165" fontId="24" fillId="7" borderId="26" xfId="0" applyNumberFormat="1" applyFont="1" applyFill="1" applyBorder="1" applyAlignment="1">
      <alignment horizontal="center" vertical="center"/>
    </xf>
    <xf numFmtId="0" fontId="1" fillId="0" borderId="0" xfId="0" applyFont="1"/>
    <xf numFmtId="0" fontId="26" fillId="0" borderId="0" xfId="0" applyFont="1"/>
    <xf numFmtId="0" fontId="23" fillId="3" borderId="0" xfId="0" applyFont="1" applyFill="1" applyAlignment="1">
      <alignment horizontal="center" vertical="center"/>
    </xf>
    <xf numFmtId="0" fontId="17" fillId="2" borderId="28" xfId="3" applyFont="1" applyFill="1" applyBorder="1" applyAlignment="1">
      <alignment horizontal="right" vertical="center"/>
    </xf>
    <xf numFmtId="0" fontId="17" fillId="2" borderId="11" xfId="3" applyFont="1" applyFill="1" applyBorder="1" applyAlignment="1">
      <alignment horizontal="right" vertical="center"/>
    </xf>
    <xf numFmtId="0" fontId="17" fillId="2" borderId="29" xfId="3" applyFont="1" applyFill="1" applyBorder="1" applyAlignment="1">
      <alignment horizontal="right" vertical="center"/>
    </xf>
    <xf numFmtId="0" fontId="17" fillId="2" borderId="13" xfId="3" applyFont="1" applyFill="1" applyBorder="1" applyAlignment="1">
      <alignment horizontal="right" vertical="center"/>
    </xf>
    <xf numFmtId="0" fontId="0" fillId="0" borderId="0" xfId="0" quotePrefix="1"/>
    <xf numFmtId="0" fontId="16" fillId="0" borderId="31" xfId="7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44" fontId="0" fillId="0" borderId="0" xfId="0" applyNumberFormat="1" applyAlignment="1">
      <alignment vertical="center"/>
    </xf>
    <xf numFmtId="0" fontId="17" fillId="2" borderId="0" xfId="3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5" applyFont="1" applyAlignment="1">
      <alignment horizontal="center" vertical="center"/>
    </xf>
    <xf numFmtId="0" fontId="17" fillId="2" borderId="32" xfId="3" applyFont="1" applyFill="1" applyBorder="1" applyAlignment="1">
      <alignment horizontal="right" vertical="center"/>
    </xf>
    <xf numFmtId="14" fontId="24" fillId="7" borderId="25" xfId="0" applyNumberFormat="1" applyFont="1" applyFill="1" applyBorder="1" applyAlignment="1">
      <alignment horizontal="center" vertical="center"/>
    </xf>
    <xf numFmtId="0" fontId="24" fillId="7" borderId="30" xfId="0" applyFont="1" applyFill="1" applyBorder="1" applyAlignment="1">
      <alignment horizontal="center" vertical="center"/>
    </xf>
    <xf numFmtId="0" fontId="24" fillId="7" borderId="25" xfId="0" applyFont="1" applyFill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15" fillId="2" borderId="22" xfId="3" applyFont="1" applyFill="1" applyBorder="1" applyAlignment="1">
      <alignment horizontal="center" vertical="center"/>
    </xf>
    <xf numFmtId="1" fontId="19" fillId="7" borderId="7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1" fontId="16" fillId="0" borderId="1" xfId="0" applyNumberFormat="1" applyFont="1" applyBorder="1" applyAlignment="1">
      <alignment horizontal="left" vertical="center"/>
    </xf>
    <xf numFmtId="0" fontId="0" fillId="8" borderId="0" xfId="0" applyFill="1" applyAlignment="1">
      <alignment vertical="center"/>
    </xf>
    <xf numFmtId="0" fontId="20" fillId="8" borderId="0" xfId="0" applyFont="1" applyFill="1" applyAlignment="1">
      <alignment vertical="center"/>
    </xf>
    <xf numFmtId="0" fontId="0" fillId="8" borderId="1" xfId="0" applyFill="1" applyBorder="1"/>
    <xf numFmtId="9" fontId="0" fillId="8" borderId="1" xfId="5" applyFont="1" applyFill="1" applyBorder="1"/>
    <xf numFmtId="1" fontId="19" fillId="7" borderId="33" xfId="0" applyNumberFormat="1" applyFont="1" applyFill="1" applyBorder="1" applyAlignment="1">
      <alignment horizontal="right" vertical="center"/>
    </xf>
    <xf numFmtId="9" fontId="16" fillId="0" borderId="34" xfId="5" applyFont="1" applyBorder="1" applyAlignment="1">
      <alignment horizontal="center" vertical="center"/>
    </xf>
    <xf numFmtId="0" fontId="15" fillId="2" borderId="35" xfId="3" applyFont="1" applyFill="1" applyBorder="1" applyAlignment="1">
      <alignment horizontal="center" vertical="center"/>
    </xf>
    <xf numFmtId="0" fontId="15" fillId="2" borderId="36" xfId="3" applyFont="1" applyFill="1" applyBorder="1" applyAlignment="1">
      <alignment horizontal="center" vertical="center"/>
    </xf>
    <xf numFmtId="0" fontId="15" fillId="2" borderId="37" xfId="3" applyFont="1" applyFill="1" applyBorder="1" applyAlignment="1">
      <alignment horizontal="center" vertical="center"/>
    </xf>
    <xf numFmtId="1" fontId="19" fillId="7" borderId="38" xfId="0" applyNumberFormat="1" applyFont="1" applyFill="1" applyBorder="1" applyAlignment="1">
      <alignment horizontal="right" vertical="center"/>
    </xf>
    <xf numFmtId="1" fontId="16" fillId="0" borderId="39" xfId="0" applyNumberFormat="1" applyFont="1" applyBorder="1" applyAlignment="1">
      <alignment horizontal="left" vertical="center"/>
    </xf>
    <xf numFmtId="9" fontId="16" fillId="0" borderId="40" xfId="5" applyFont="1" applyBorder="1" applyAlignment="1">
      <alignment horizontal="center" vertical="center"/>
    </xf>
    <xf numFmtId="0" fontId="14" fillId="2" borderId="41" xfId="3" applyFont="1" applyFill="1" applyBorder="1" applyAlignment="1">
      <alignment horizontal="center" vertical="center"/>
    </xf>
    <xf numFmtId="0" fontId="14" fillId="6" borderId="4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9" fillId="2" borderId="41" xfId="3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</cellXfs>
  <cellStyles count="8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  <cellStyle name="Vírgula" xfId="7" builtinId="3"/>
  </cellStyles>
  <dxfs count="39"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8" tint="-0.24994659260841701"/>
      </font>
      <fill>
        <patternFill patternType="none">
          <bgColor auto="1"/>
        </patternFill>
      </fill>
    </dxf>
    <dxf>
      <font>
        <color theme="7" tint="-0.24994659260841701"/>
      </font>
      <fill>
        <patternFill patternType="none">
          <bgColor auto="1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165" formatCode="_-[$R$-416]\ * #,##0.00_-;\-[$R$-416]\ * #,##0.00_-;_-[$R$-416]\ * &quot;-&quot;??_-;_-@_-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numFmt numFmtId="1" formatCode="0"/>
      <fill>
        <patternFill patternType="solid">
          <fgColor indexed="64"/>
          <bgColor rgb="FFCCCCCC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Montserrat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[$R$-416]\ * #,##0.00_-;\-[$R$-416]\ * #,##0.00_-;_-[$R$-416]\ * &quot;-&quot;??_-;_-@_-"/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5288.5</c:v>
                </c:pt>
                <c:pt idx="1">
                  <c:v>0</c:v>
                </c:pt>
                <c:pt idx="2">
                  <c:v>24407.499999999996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B2-4EAB-AC1C-F0EA07481462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B2-4EAB-AC1C-F0EA07481462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2-4EAB-AC1C-F0EA074814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6-46FA-A4A3-10DC4C20EA9E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6-46FA-A4A3-10DC4C20EA9E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6-46FA-A4A3-10DC4C20E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B4C-8E27-1A3FA2CD47F0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B4C-8E27-1A3FA2CD47F0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2-4B4C-8E27-1A3FA2CD4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476250</xdr:colOff>
      <xdr:row>0</xdr:row>
      <xdr:rowOff>473710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1312544</xdr:colOff>
      <xdr:row>0</xdr:row>
      <xdr:rowOff>96204</xdr:rowOff>
    </xdr:from>
    <xdr:to>
      <xdr:col>7</xdr:col>
      <xdr:colOff>478154</xdr:colOff>
      <xdr:row>0</xdr:row>
      <xdr:rowOff>402909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96204</xdr:rowOff>
    </xdr:from>
    <xdr:to>
      <xdr:col>6</xdr:col>
      <xdr:colOff>626745</xdr:colOff>
      <xdr:row>0</xdr:row>
      <xdr:rowOff>402909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593408</xdr:colOff>
      <xdr:row>0</xdr:row>
      <xdr:rowOff>96204</xdr:rowOff>
    </xdr:from>
    <xdr:to>
      <xdr:col>5</xdr:col>
      <xdr:colOff>437198</xdr:colOff>
      <xdr:row>0</xdr:row>
      <xdr:rowOff>402909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476250</xdr:colOff>
      <xdr:row>0</xdr:row>
      <xdr:rowOff>96204</xdr:rowOff>
    </xdr:from>
    <xdr:to>
      <xdr:col>4</xdr:col>
      <xdr:colOff>516255</xdr:colOff>
      <xdr:row>0</xdr:row>
      <xdr:rowOff>402909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477519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8</xdr:col>
      <xdr:colOff>1450249</xdr:colOff>
      <xdr:row>0</xdr:row>
      <xdr:rowOff>91440</xdr:rowOff>
    </xdr:from>
    <xdr:to>
      <xdr:col>9</xdr:col>
      <xdr:colOff>590549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381816</xdr:colOff>
      <xdr:row>0</xdr:row>
      <xdr:rowOff>91440</xdr:rowOff>
    </xdr:from>
    <xdr:to>
      <xdr:col>8</xdr:col>
      <xdr:colOff>781595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855753</xdr:colOff>
      <xdr:row>0</xdr:row>
      <xdr:rowOff>91440</xdr:rowOff>
    </xdr:from>
    <xdr:to>
      <xdr:col>7</xdr:col>
      <xdr:colOff>306569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455295</xdr:colOff>
      <xdr:row>0</xdr:row>
      <xdr:rowOff>91440</xdr:rowOff>
    </xdr:from>
    <xdr:to>
      <xdr:col>6</xdr:col>
      <xdr:colOff>784315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477519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5</xdr:col>
      <xdr:colOff>1068704</xdr:colOff>
      <xdr:row>0</xdr:row>
      <xdr:rowOff>95250</xdr:rowOff>
    </xdr:from>
    <xdr:to>
      <xdr:col>5</xdr:col>
      <xdr:colOff>1733549</xdr:colOff>
      <xdr:row>0</xdr:row>
      <xdr:rowOff>396240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40954" y="95250"/>
          <a:ext cx="664845" cy="300990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1543050</xdr:colOff>
      <xdr:row>0</xdr:row>
      <xdr:rowOff>91440</xdr:rowOff>
    </xdr:from>
    <xdr:to>
      <xdr:col>5</xdr:col>
      <xdr:colOff>628650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439103</xdr:colOff>
      <xdr:row>0</xdr:row>
      <xdr:rowOff>91440</xdr:rowOff>
    </xdr:from>
    <xdr:to>
      <xdr:col>4</xdr:col>
      <xdr:colOff>1429703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1163955</xdr:colOff>
      <xdr:row>0</xdr:row>
      <xdr:rowOff>91440</xdr:rowOff>
    </xdr:from>
    <xdr:to>
      <xdr:col>4</xdr:col>
      <xdr:colOff>361950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1009649</xdr:colOff>
      <xdr:row>0</xdr:row>
      <xdr:rowOff>95250</xdr:rowOff>
    </xdr:from>
    <xdr:to>
      <xdr:col>5</xdr:col>
      <xdr:colOff>249554</xdr:colOff>
      <xdr:row>0</xdr:row>
      <xdr:rowOff>396240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95250</xdr:rowOff>
    </xdr:from>
    <xdr:to>
      <xdr:col>4</xdr:col>
      <xdr:colOff>358140</xdr:colOff>
      <xdr:row>0</xdr:row>
      <xdr:rowOff>396240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1351598</xdr:colOff>
      <xdr:row>0</xdr:row>
      <xdr:rowOff>95250</xdr:rowOff>
    </xdr:from>
    <xdr:to>
      <xdr:col>3</xdr:col>
      <xdr:colOff>56198</xdr:colOff>
      <xdr:row>0</xdr:row>
      <xdr:rowOff>396240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285750</xdr:colOff>
      <xdr:row>0</xdr:row>
      <xdr:rowOff>95250</xdr:rowOff>
    </xdr:from>
    <xdr:to>
      <xdr:col>2</xdr:col>
      <xdr:colOff>1255395</xdr:colOff>
      <xdr:row>0</xdr:row>
      <xdr:rowOff>396240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477519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109286</xdr:colOff>
      <xdr:row>27</xdr:row>
      <xdr:rowOff>5514</xdr:rowOff>
    </xdr:from>
    <xdr:to>
      <xdr:col>39</xdr:col>
      <xdr:colOff>114300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97753</xdr:colOff>
      <xdr:row>27</xdr:row>
      <xdr:rowOff>32121</xdr:rowOff>
    </xdr:from>
    <xdr:to>
      <xdr:col>67</xdr:col>
      <xdr:colOff>28914</xdr:colOff>
      <xdr:row>45</xdr:row>
      <xdr:rowOff>74871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6CC0C20-8D6B-9CF3-8A51-0AD2AC614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50799</xdr:colOff>
      <xdr:row>27</xdr:row>
      <xdr:rowOff>32121</xdr:rowOff>
    </xdr:from>
    <xdr:to>
      <xdr:col>79</xdr:col>
      <xdr:colOff>116349</xdr:colOff>
      <xdr:row>45</xdr:row>
      <xdr:rowOff>76081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92114342-97CA-FF22-11FA-330A7E82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11907</xdr:colOff>
      <xdr:row>27</xdr:row>
      <xdr:rowOff>32121</xdr:rowOff>
    </xdr:from>
    <xdr:to>
      <xdr:col>54</xdr:col>
      <xdr:colOff>75869</xdr:colOff>
      <xdr:row>45</xdr:row>
      <xdr:rowOff>78046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8CEE2B-7354-F6A0-6184-F367FE4A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127000</xdr:colOff>
      <xdr:row>34</xdr:row>
      <xdr:rowOff>109537</xdr:rowOff>
    </xdr:from>
    <xdr:to>
      <xdr:col>51</xdr:col>
      <xdr:colOff>80963</xdr:colOff>
      <xdr:row>41</xdr:row>
      <xdr:rowOff>17463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0967A517-B9CD-4742-8AE9-F76359CEF82E}"/>
            </a:ext>
          </a:extLst>
        </xdr:cNvPr>
        <xdr:cNvSpPr txBox="1"/>
      </xdr:nvSpPr>
      <xdr:spPr>
        <a:xfrm>
          <a:off x="5994400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07FCFD-094D-4EAB-98EE-9BA4A08165AC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2400" b="1" i="0" u="none" strike="noStrike">
            <a:solidFill>
              <a:srgbClr val="F87F46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98425</xdr:colOff>
      <xdr:row>34</xdr:row>
      <xdr:rowOff>109537</xdr:rowOff>
    </xdr:from>
    <xdr:to>
      <xdr:col>64</xdr:col>
      <xdr:colOff>52388</xdr:colOff>
      <xdr:row>41</xdr:row>
      <xdr:rowOff>17463</xdr:rowOff>
    </xdr:to>
    <xdr:sp macro="" textlink="'Dados para Gráficos'!J3">
      <xdr:nvSpPr>
        <xdr:cNvPr id="14" name="CaixaDeTexto 13">
          <a:extLst>
            <a:ext uri="{FF2B5EF4-FFF2-40B4-BE49-F238E27FC236}">
              <a16:creationId xmlns:a16="http://schemas.microsoft.com/office/drawing/2014/main" id="{9AF33804-2FD2-483F-B356-DE7FEC43833B}"/>
            </a:ext>
          </a:extLst>
        </xdr:cNvPr>
        <xdr:cNvSpPr txBox="1"/>
      </xdr:nvSpPr>
      <xdr:spPr>
        <a:xfrm>
          <a:off x="7699375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E9ABE2-B87E-4D40-AAE0-8073C93DDA88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70</xdr:col>
      <xdr:colOff>31750</xdr:colOff>
      <xdr:row>34</xdr:row>
      <xdr:rowOff>100012</xdr:rowOff>
    </xdr:from>
    <xdr:to>
      <xdr:col>76</xdr:col>
      <xdr:colOff>119063</xdr:colOff>
      <xdr:row>41</xdr:row>
      <xdr:rowOff>7938</xdr:rowOff>
    </xdr:to>
    <xdr:sp macro="" textlink="'Dados para Gráficos'!J4">
      <xdr:nvSpPr>
        <xdr:cNvPr id="15" name="CaixaDeTexto 14">
          <a:extLst>
            <a:ext uri="{FF2B5EF4-FFF2-40B4-BE49-F238E27FC236}">
              <a16:creationId xmlns:a16="http://schemas.microsoft.com/office/drawing/2014/main" id="{17548AA3-9D11-4A7A-ACBE-DA32BAD37C57}"/>
            </a:ext>
          </a:extLst>
        </xdr:cNvPr>
        <xdr:cNvSpPr txBox="1"/>
      </xdr:nvSpPr>
      <xdr:spPr>
        <a:xfrm>
          <a:off x="9366250" y="4310062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3498DB-30FC-4C4C-BF4E-F0526C1F1444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38" dataDxfId="37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B7:G66">
    <sortCondition ref="B7:B66"/>
  </sortState>
  <tableColumns count="6">
    <tableColumn id="1" xr3:uid="{2F8ED5FF-48A1-488E-9DF1-FE060F71A415}" name="Código" dataDxfId="36"/>
    <tableColumn id="2" xr3:uid="{E100D4E2-C3A0-43FF-A1D9-90A4BC2A9918}" name="Produtos" dataDxfId="35"/>
    <tableColumn id="3" xr3:uid="{2EF7FEE0-6B6F-4534-86A0-46B6555B7BEF}" name="Tamanho" dataDxfId="34"/>
    <tableColumn id="4" xr3:uid="{4435A4B8-E7F0-4D66-A4F8-6A9FEAA36D5A}" name="Categoria" dataDxfId="33"/>
    <tableColumn id="6" xr3:uid="{15F9CACC-A558-4A20-80CF-C2ADA2603221}" name="Estoque" dataDxfId="32"/>
    <tableColumn id="5" xr3:uid="{CA8AD0DE-58EC-4839-85FB-1DD75DA28087}" name="Preço Unitário" dataDxfId="3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N86" totalsRowShown="0" headerRowDxfId="22" dataDxfId="21" headerRowCellStyle="Cabeçalho Meteora">
  <autoFilter ref="A4:N86" xr:uid="{AD739091-30BD-4C30-BDDA-7504C0C4B6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7" xr3:uid="{5E8DE7C3-CDB6-4314-A5CC-C44D3C21973F}" name="Nº" dataDxfId="20">
      <calculatedColumnFormula>MONTH(TB_Vendas[[#This Row],[Data]])</calculatedColumnFormula>
    </tableColumn>
    <tableColumn id="10" xr3:uid="{BD1ABB49-B48B-4C50-A034-45488FDC03A8}" name="Mês" dataDxfId="19">
      <calculatedColumnFormula>PROPER(TEXT(DATE(,TB_Vendas[[#This Row],[Nº]],1),"Mmm"))</calculatedColumnFormula>
    </tableColumn>
    <tableColumn id="1" xr3:uid="{43632F1F-6978-4CE7-BB13-7CCE587D6821}" name="Data" dataDxfId="18"/>
    <tableColumn id="12" xr3:uid="{205A55AB-454E-4288-AE23-042C3C399E7A}" name="Código" dataDxfId="17"/>
    <tableColumn id="11" xr3:uid="{40FB059F-EE80-4CAA-BF26-E7B46EE120BA}" name="Categoria" dataDxfId="16">
      <calculatedColumnFormula>_xlfn.XLOOKUP(TB_Vendas[[#This Row],[Código]],TB_Produtos[Código],TB_Produtos[Categoria])</calculatedColumnFormula>
    </tableColumn>
    <tableColumn id="5" xr3:uid="{7DC2ADED-AF8A-4BC8-A38E-FEF676FE49C9}" name="Qtd" dataDxfId="15"/>
    <tableColumn id="9" xr3:uid="{05B7315B-2774-41BC-AFEC-4A19E452D6C7}" name="Preço Unitário" dataDxfId="14">
      <calculatedColumnFormula>_xlfn.XLOOKUP(TB_Vendas[[#This Row],[Código]],TB_Produtos[Código],TB_Produtos[Preço Unitário])</calculatedColumnFormula>
    </tableColumn>
    <tableColumn id="14" xr3:uid="{64298C1E-AAA1-440F-82AF-EC7082B92EDD}" name="Índece" dataDxfId="13">
      <calculatedColumnFormula>_xlfn.XMATCH(TB_Vendas[[#This Row],[Categoria]],'Cadastros Auxiliares'!$B$8:$E$8,0)</calculatedColumnFormula>
    </tableColumn>
    <tableColumn id="13" xr3:uid="{28310324-DE98-42AF-ADDC-209319FC17CC}" name="Desconto _x000a_(Passo a Passo)" dataDxfId="12" dataCellStyle="Porcentagem">
      <calculatedColumnFormula>VLOOKUP(TB_Vendas[[#This Row],[Qtd]],'Cadastros Auxiliares'!$B$8:$E$13,Vendas!H5,TRUE)</calculatedColumnFormula>
    </tableColumn>
    <tableColumn id="2" xr3:uid="{4BEBDE19-FA81-4412-AC83-E0AE6998A9B4}" name="Desconto _x000a_(Diretão)" dataDxfId="11" dataCellStyle="Porcentagem">
      <calculatedColumnFormula array="1">INDEX('Cadastros Auxiliares'!$B$8:$E$13,_xlfn.XMATCH(TB_Vendas[[#This Row],[Qtd]],'Cadastros Auxiliares'!$B$8:$B$13,-1),_xlfn.XMATCH(_xlfn.XLOOKUP(TB_Vendas[[#This Row],[Código]],TB_Produtos[Código],TB_Produtos[Categoria]),'Cadastros Auxiliares'!$B$8:$E$8,0))</calculatedColumnFormula>
    </tableColumn>
    <tableColumn id="3" xr3:uid="{966BFC56-48CD-4FA1-A82F-E522962BDAC3}" name="Desconto _x000a_(Vendedor)" dataDxfId="10" dataCellStyle="Porcentagem">
      <calculatedColumnFormula>_xlfn.XLOOKUP(TB_Vendas[[#This Row],[Vendedor]],TB_Vendedor[Código],TB_Vendedor[Desc. Máximo])</calculatedColumnFormula>
    </tableColumn>
    <tableColumn id="4" xr3:uid="{7AD5328B-FE80-47BD-BEBB-E139935F60DA}" name="Desconto Final" dataDxfId="9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8">
      <calculatedColumnFormula>TB_Vendas[[#This Row],[Preço Unitário]]*TB_Vendas[[#This Row],[Qtd]]</calculatedColumnFormula>
    </tableColumn>
    <tableColumn id="8" xr3:uid="{192FEBCA-1287-48A6-9BE6-69528F71C305}" name="Vendedor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DDECB-74EA-4CAF-BF6A-3D08FA2248A6}" name="TB_Vendedor" displayName="TB_Vendedor" ref="C5:F10" totalsRowShown="0" headerRowDxfId="30" headerRowBorderDxfId="29" tableBorderDxfId="28" totalsRowBorderDxfId="27" headerRowCellStyle="Cabeçalho Meteora">
  <autoFilter ref="C5:F10" xr:uid="{92BDDECB-74EA-4CAF-BF6A-3D08FA2248A6}">
    <filterColumn colId="0" hiddenButton="1"/>
    <filterColumn colId="1" hiddenButton="1"/>
    <filterColumn colId="2" hiddenButton="1"/>
    <filterColumn colId="3" hiddenButton="1"/>
  </autoFilter>
  <tableColumns count="4">
    <tableColumn id="1" xr3:uid="{2CB7BA6B-D54F-4652-8B77-FEDE913880BD}" name="Código" dataDxfId="26"/>
    <tableColumn id="2" xr3:uid="{A442FF19-090D-4CCD-9930-C21CAE8F946B}" name="Vendedor" dataDxfId="25"/>
    <tableColumn id="3" xr3:uid="{81785A68-7D2A-4206-8EA0-9347E0B44E46}" name="Cidade" dataDxfId="24"/>
    <tableColumn id="4" xr3:uid="{33E72356-7286-493F-82BE-8C402A9CBC92}" name="Desc. Máximo" dataDxfId="23" dataCellStyle="Porcentage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showGridLines="0" showRowColHeaders="0" tabSelected="1" workbookViewId="0">
      <selection activeCell="J14" sqref="J14"/>
    </sheetView>
  </sheetViews>
  <sheetFormatPr defaultColWidth="0" defaultRowHeight="14.4" zeroHeight="1"/>
  <cols>
    <col min="1" max="5" width="8.88671875" style="32" customWidth="1"/>
    <col min="6" max="12" width="8.88671875" customWidth="1"/>
    <col min="13" max="16384" width="8.88671875" hidden="1"/>
  </cols>
  <sheetData>
    <row r="1" spans="1:12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</row>
    <row r="7" spans="1:12">
      <c r="F7" s="32"/>
      <c r="G7" s="32"/>
      <c r="H7" s="32"/>
      <c r="I7" s="32"/>
      <c r="J7" s="32"/>
      <c r="K7" s="32"/>
      <c r="L7" s="32"/>
    </row>
    <row r="8" spans="1:12">
      <c r="F8" s="32"/>
      <c r="G8" s="32"/>
      <c r="H8" s="32"/>
      <c r="I8" s="32"/>
      <c r="J8" s="32"/>
      <c r="K8" s="32"/>
      <c r="L8" s="32"/>
    </row>
    <row r="9" spans="1:12">
      <c r="F9" s="32"/>
      <c r="G9" s="32"/>
      <c r="H9" s="32"/>
      <c r="I9" s="32"/>
      <c r="J9" s="32"/>
      <c r="K9" s="32"/>
      <c r="L9" s="32"/>
    </row>
    <row r="10" spans="1:12">
      <c r="F10" s="32"/>
      <c r="G10" s="32"/>
      <c r="H10" s="32"/>
      <c r="I10" s="32"/>
      <c r="J10" s="32"/>
      <c r="K10" s="32"/>
      <c r="L10" s="32"/>
    </row>
    <row r="11" spans="1:12">
      <c r="F11" s="32"/>
      <c r="G11" s="32"/>
      <c r="H11" s="32"/>
      <c r="I11" s="32"/>
      <c r="J11" s="32"/>
      <c r="K11" s="32"/>
      <c r="L11" s="32"/>
    </row>
    <row r="12" spans="1:12">
      <c r="F12" s="32"/>
      <c r="G12" s="32"/>
      <c r="H12" s="32"/>
      <c r="I12" s="32"/>
      <c r="J12" s="32"/>
      <c r="K12" s="32"/>
      <c r="L12" s="32"/>
    </row>
    <row r="13" spans="1:12">
      <c r="F13" s="32"/>
      <c r="G13" s="32"/>
      <c r="H13" s="32"/>
      <c r="I13" s="32"/>
      <c r="J13" s="32"/>
      <c r="K13" s="32"/>
      <c r="L13" s="32"/>
    </row>
    <row r="14" spans="1:12">
      <c r="F14" s="32"/>
      <c r="G14" s="32"/>
      <c r="H14" s="32"/>
      <c r="I14" s="32"/>
      <c r="J14" s="32"/>
      <c r="K14" s="32"/>
      <c r="L14" s="32"/>
    </row>
    <row r="15" spans="1:12">
      <c r="F15" s="32"/>
      <c r="G15" s="32"/>
      <c r="H15" s="32"/>
      <c r="I15" s="32"/>
      <c r="J15" s="32"/>
      <c r="K15" s="32"/>
      <c r="L15" s="32"/>
    </row>
    <row r="16" spans="1:12">
      <c r="F16" s="32"/>
      <c r="G16" s="32"/>
      <c r="H16" s="32"/>
      <c r="I16" s="32"/>
      <c r="J16" s="32"/>
      <c r="K16" s="32"/>
      <c r="L16" s="32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7"/>
  <sheetViews>
    <sheetView showGridLines="0" showRowColHeaders="0" zoomScaleNormal="100" workbookViewId="0">
      <selection activeCell="A68" sqref="A68:XFD1048576"/>
    </sheetView>
  </sheetViews>
  <sheetFormatPr defaultColWidth="0" defaultRowHeight="14.4" zeroHeight="1"/>
  <cols>
    <col min="1" max="1" width="8.44140625" customWidth="1"/>
    <col min="2" max="2" width="18.33203125" bestFit="1" customWidth="1"/>
    <col min="3" max="3" width="22.6640625" style="1" customWidth="1"/>
    <col min="4" max="4" width="14" bestFit="1" customWidth="1"/>
    <col min="5" max="5" width="17.109375" style="1" bestFit="1" customWidth="1"/>
    <col min="6" max="6" width="13.109375" customWidth="1"/>
    <col min="7" max="7" width="22.88671875" bestFit="1" customWidth="1"/>
    <col min="8" max="8" width="8.88671875" customWidth="1"/>
    <col min="9" max="16384" width="8.88671875" hidden="1"/>
  </cols>
  <sheetData>
    <row r="1" spans="1:9" s="32" customFormat="1" ht="40.200000000000003" customHeight="1">
      <c r="A1" s="35"/>
      <c r="B1" s="39" t="s">
        <v>133</v>
      </c>
      <c r="C1" s="39"/>
      <c r="D1" s="39"/>
      <c r="E1" s="54"/>
      <c r="F1" s="39"/>
      <c r="G1" s="39"/>
      <c r="H1" s="37"/>
      <c r="I1" s="37"/>
    </row>
    <row r="2" spans="1:9" s="33" customFormat="1" ht="4.5" customHeight="1">
      <c r="A2" s="36"/>
      <c r="B2" s="36"/>
      <c r="C2" s="36"/>
      <c r="D2" s="36"/>
      <c r="E2" s="36"/>
      <c r="F2" s="36"/>
    </row>
    <row r="3" spans="1:9" ht="4.5" customHeight="1">
      <c r="A3" s="34"/>
      <c r="B3" s="34"/>
      <c r="C3" s="34"/>
      <c r="D3" s="34"/>
      <c r="E3" s="34"/>
      <c r="F3" s="34"/>
    </row>
    <row r="4" spans="1:9" ht="18" customHeight="1">
      <c r="A4" s="38"/>
      <c r="B4" s="38"/>
      <c r="D4" s="34"/>
      <c r="E4" s="34"/>
      <c r="F4" s="34"/>
    </row>
    <row r="5" spans="1:9" ht="4.95" customHeight="1">
      <c r="A5" s="34"/>
      <c r="B5" s="34"/>
      <c r="C5" s="34"/>
      <c r="D5" s="34"/>
      <c r="E5" s="34"/>
      <c r="F5" s="34"/>
    </row>
    <row r="6" spans="1:9" s="1" customFormat="1" ht="18">
      <c r="B6" s="61" t="s">
        <v>30</v>
      </c>
      <c r="C6" s="61" t="s">
        <v>0</v>
      </c>
      <c r="D6" s="61" t="s">
        <v>1</v>
      </c>
      <c r="E6" s="61" t="s">
        <v>10</v>
      </c>
      <c r="F6" s="61" t="s">
        <v>77</v>
      </c>
      <c r="G6" s="61" t="s">
        <v>11</v>
      </c>
      <c r="H6" s="31"/>
    </row>
    <row r="7" spans="1:9">
      <c r="B7" s="62" t="s">
        <v>32</v>
      </c>
      <c r="C7" s="45" t="s">
        <v>5</v>
      </c>
      <c r="D7" s="62" t="s">
        <v>2</v>
      </c>
      <c r="E7" s="62" t="s">
        <v>12</v>
      </c>
      <c r="F7" s="62">
        <v>48</v>
      </c>
      <c r="G7" s="63">
        <v>65.900000000000006</v>
      </c>
    </row>
    <row r="8" spans="1:9">
      <c r="B8" s="62" t="s">
        <v>33</v>
      </c>
      <c r="C8" s="45" t="s">
        <v>5</v>
      </c>
      <c r="D8" s="62" t="s">
        <v>3</v>
      </c>
      <c r="E8" s="62" t="s">
        <v>12</v>
      </c>
      <c r="F8" s="62">
        <v>17</v>
      </c>
      <c r="G8" s="63">
        <v>69.900000000000006</v>
      </c>
    </row>
    <row r="9" spans="1:9">
      <c r="B9" s="62" t="s">
        <v>34</v>
      </c>
      <c r="C9" s="45" t="s">
        <v>5</v>
      </c>
      <c r="D9" s="62" t="s">
        <v>4</v>
      </c>
      <c r="E9" s="62" t="s">
        <v>12</v>
      </c>
      <c r="F9" s="62">
        <v>37</v>
      </c>
      <c r="G9" s="63">
        <v>70.900000000000006</v>
      </c>
    </row>
    <row r="10" spans="1:9">
      <c r="B10" s="62" t="s">
        <v>35</v>
      </c>
      <c r="C10" s="45" t="s">
        <v>29</v>
      </c>
      <c r="D10" s="62" t="s">
        <v>8</v>
      </c>
      <c r="E10" s="62" t="s">
        <v>13</v>
      </c>
      <c r="F10" s="62">
        <v>6</v>
      </c>
      <c r="G10" s="63">
        <v>145</v>
      </c>
    </row>
    <row r="11" spans="1:9">
      <c r="B11" s="62" t="s">
        <v>36</v>
      </c>
      <c r="C11" s="45" t="s">
        <v>28</v>
      </c>
      <c r="D11" s="62" t="s">
        <v>8</v>
      </c>
      <c r="E11" s="62" t="s">
        <v>13</v>
      </c>
      <c r="F11" s="62">
        <v>21</v>
      </c>
      <c r="G11" s="63">
        <v>259.89999999999998</v>
      </c>
    </row>
    <row r="12" spans="1:9">
      <c r="B12" s="62" t="s">
        <v>37</v>
      </c>
      <c r="C12" s="45" t="s">
        <v>6</v>
      </c>
      <c r="D12" s="62" t="s">
        <v>8</v>
      </c>
      <c r="E12" s="62" t="s">
        <v>13</v>
      </c>
      <c r="F12" s="62">
        <v>23</v>
      </c>
      <c r="G12" s="63">
        <v>39.9</v>
      </c>
    </row>
    <row r="13" spans="1:9">
      <c r="B13" s="62" t="s">
        <v>38</v>
      </c>
      <c r="C13" s="45" t="s">
        <v>23</v>
      </c>
      <c r="D13" s="62" t="s">
        <v>2</v>
      </c>
      <c r="E13" s="62" t="s">
        <v>12</v>
      </c>
      <c r="F13" s="62">
        <v>24</v>
      </c>
      <c r="G13" s="63">
        <v>85.9</v>
      </c>
    </row>
    <row r="14" spans="1:9">
      <c r="B14" s="62" t="s">
        <v>39</v>
      </c>
      <c r="C14" s="45" t="s">
        <v>23</v>
      </c>
      <c r="D14" s="62" t="s">
        <v>3</v>
      </c>
      <c r="E14" s="62" t="s">
        <v>12</v>
      </c>
      <c r="F14" s="62">
        <v>35</v>
      </c>
      <c r="G14" s="63">
        <v>89.9</v>
      </c>
    </row>
    <row r="15" spans="1:9">
      <c r="B15" s="62" t="s">
        <v>40</v>
      </c>
      <c r="C15" s="45" t="s">
        <v>23</v>
      </c>
      <c r="D15" s="62" t="s">
        <v>4</v>
      </c>
      <c r="E15" s="62" t="s">
        <v>12</v>
      </c>
      <c r="F15" s="62">
        <v>47</v>
      </c>
      <c r="G15" s="63">
        <v>92.9</v>
      </c>
    </row>
    <row r="16" spans="1:9">
      <c r="B16" s="62" t="s">
        <v>41</v>
      </c>
      <c r="C16" s="45" t="s">
        <v>26</v>
      </c>
      <c r="D16" s="62" t="s">
        <v>2</v>
      </c>
      <c r="E16" s="62" t="s">
        <v>12</v>
      </c>
      <c r="F16" s="62">
        <v>42</v>
      </c>
      <c r="G16" s="63">
        <v>44.9</v>
      </c>
    </row>
    <row r="17" spans="2:7">
      <c r="B17" s="62" t="s">
        <v>42</v>
      </c>
      <c r="C17" s="45" t="s">
        <v>26</v>
      </c>
      <c r="D17" s="62" t="s">
        <v>3</v>
      </c>
      <c r="E17" s="62" t="s">
        <v>12</v>
      </c>
      <c r="F17" s="62">
        <v>32</v>
      </c>
      <c r="G17" s="63">
        <v>46.9</v>
      </c>
    </row>
    <row r="18" spans="2:7">
      <c r="B18" s="62" t="s">
        <v>43</v>
      </c>
      <c r="C18" s="45" t="s">
        <v>26</v>
      </c>
      <c r="D18" s="62" t="s">
        <v>4</v>
      </c>
      <c r="E18" s="62" t="s">
        <v>12</v>
      </c>
      <c r="F18" s="62">
        <v>45</v>
      </c>
      <c r="G18" s="63">
        <v>48.9</v>
      </c>
    </row>
    <row r="19" spans="2:7">
      <c r="B19" s="62" t="s">
        <v>44</v>
      </c>
      <c r="C19" s="45" t="s">
        <v>18</v>
      </c>
      <c r="D19" s="62" t="s">
        <v>2</v>
      </c>
      <c r="E19" s="62" t="s">
        <v>12</v>
      </c>
      <c r="F19" s="62">
        <v>19</v>
      </c>
      <c r="G19" s="63">
        <v>39.9</v>
      </c>
    </row>
    <row r="20" spans="2:7">
      <c r="B20" s="62" t="s">
        <v>45</v>
      </c>
      <c r="C20" s="45" t="s">
        <v>18</v>
      </c>
      <c r="D20" s="62" t="s">
        <v>3</v>
      </c>
      <c r="E20" s="62" t="s">
        <v>12</v>
      </c>
      <c r="F20" s="62">
        <v>37</v>
      </c>
      <c r="G20" s="63">
        <v>39.9</v>
      </c>
    </row>
    <row r="21" spans="2:7">
      <c r="B21" s="62" t="s">
        <v>46</v>
      </c>
      <c r="C21" s="45" t="s">
        <v>18</v>
      </c>
      <c r="D21" s="62" t="s">
        <v>4</v>
      </c>
      <c r="E21" s="62" t="s">
        <v>12</v>
      </c>
      <c r="F21" s="62">
        <v>16</v>
      </c>
      <c r="G21" s="63">
        <v>42.5</v>
      </c>
    </row>
    <row r="22" spans="2:7">
      <c r="B22" s="62" t="s">
        <v>47</v>
      </c>
      <c r="C22" s="45" t="s">
        <v>9</v>
      </c>
      <c r="D22" s="62" t="s">
        <v>2</v>
      </c>
      <c r="E22" s="62" t="s">
        <v>12</v>
      </c>
      <c r="F22" s="62">
        <v>43</v>
      </c>
      <c r="G22" s="63">
        <v>25.9</v>
      </c>
    </row>
    <row r="23" spans="2:7">
      <c r="B23" s="62" t="s">
        <v>48</v>
      </c>
      <c r="C23" s="45" t="s">
        <v>17</v>
      </c>
      <c r="D23" s="62" t="s">
        <v>3</v>
      </c>
      <c r="E23" s="62" t="s">
        <v>12</v>
      </c>
      <c r="F23" s="62">
        <v>46</v>
      </c>
      <c r="G23" s="63">
        <v>29.9</v>
      </c>
    </row>
    <row r="24" spans="2:7">
      <c r="B24" s="62" t="s">
        <v>49</v>
      </c>
      <c r="C24" s="45" t="s">
        <v>17</v>
      </c>
      <c r="D24" s="62" t="s">
        <v>4</v>
      </c>
      <c r="E24" s="62" t="s">
        <v>12</v>
      </c>
      <c r="F24" s="62">
        <v>40</v>
      </c>
      <c r="G24" s="63">
        <v>32.9</v>
      </c>
    </row>
    <row r="25" spans="2:7">
      <c r="B25" s="62" t="s">
        <v>50</v>
      </c>
      <c r="C25" s="45" t="s">
        <v>7</v>
      </c>
      <c r="D25" s="62" t="s">
        <v>8</v>
      </c>
      <c r="E25" s="62" t="s">
        <v>13</v>
      </c>
      <c r="F25" s="62">
        <v>5</v>
      </c>
      <c r="G25" s="63">
        <v>49.9</v>
      </c>
    </row>
    <row r="26" spans="2:7">
      <c r="B26" s="62" t="s">
        <v>51</v>
      </c>
      <c r="C26" s="45" t="s">
        <v>22</v>
      </c>
      <c r="D26" s="62" t="s">
        <v>2</v>
      </c>
      <c r="E26" s="62" t="s">
        <v>12</v>
      </c>
      <c r="F26" s="62">
        <v>34</v>
      </c>
      <c r="G26" s="63">
        <v>299.89999999999998</v>
      </c>
    </row>
    <row r="27" spans="2:7">
      <c r="B27" s="62" t="s">
        <v>52</v>
      </c>
      <c r="C27" s="45" t="s">
        <v>22</v>
      </c>
      <c r="D27" s="62" t="s">
        <v>3</v>
      </c>
      <c r="E27" s="62" t="s">
        <v>12</v>
      </c>
      <c r="F27" s="62">
        <v>34</v>
      </c>
      <c r="G27" s="63">
        <v>302.89999999999998</v>
      </c>
    </row>
    <row r="28" spans="2:7">
      <c r="B28" s="62" t="s">
        <v>53</v>
      </c>
      <c r="C28" s="45" t="s">
        <v>22</v>
      </c>
      <c r="D28" s="62" t="s">
        <v>4</v>
      </c>
      <c r="E28" s="62" t="s">
        <v>12</v>
      </c>
      <c r="F28" s="62">
        <v>35</v>
      </c>
      <c r="G28" s="63">
        <v>300</v>
      </c>
    </row>
    <row r="29" spans="2:7">
      <c r="B29" s="62" t="s">
        <v>54</v>
      </c>
      <c r="C29" s="45" t="s">
        <v>21</v>
      </c>
      <c r="D29" s="62" t="s">
        <v>2</v>
      </c>
      <c r="E29" s="62" t="s">
        <v>12</v>
      </c>
      <c r="F29" s="62">
        <v>49</v>
      </c>
      <c r="G29" s="63">
        <v>249.9</v>
      </c>
    </row>
    <row r="30" spans="2:7">
      <c r="B30" s="62" t="s">
        <v>55</v>
      </c>
      <c r="C30" s="45" t="s">
        <v>21</v>
      </c>
      <c r="D30" s="62" t="s">
        <v>3</v>
      </c>
      <c r="E30" s="62" t="s">
        <v>12</v>
      </c>
      <c r="F30" s="62">
        <v>16</v>
      </c>
      <c r="G30" s="63">
        <v>259.89999999999998</v>
      </c>
    </row>
    <row r="31" spans="2:7">
      <c r="B31" s="62" t="s">
        <v>56</v>
      </c>
      <c r="C31" s="45" t="s">
        <v>21</v>
      </c>
      <c r="D31" s="62" t="s">
        <v>4</v>
      </c>
      <c r="E31" s="62" t="s">
        <v>12</v>
      </c>
      <c r="F31" s="62">
        <v>41</v>
      </c>
      <c r="G31" s="63">
        <v>299.89999999999998</v>
      </c>
    </row>
    <row r="32" spans="2:7">
      <c r="B32" s="62" t="s">
        <v>57</v>
      </c>
      <c r="C32" s="45" t="s">
        <v>20</v>
      </c>
      <c r="D32" s="62" t="s">
        <v>8</v>
      </c>
      <c r="E32" s="62" t="s">
        <v>13</v>
      </c>
      <c r="F32" s="62">
        <v>32</v>
      </c>
      <c r="G32" s="63">
        <v>349.9</v>
      </c>
    </row>
    <row r="33" spans="2:7">
      <c r="B33" s="62" t="s">
        <v>58</v>
      </c>
      <c r="C33" s="45" t="s">
        <v>19</v>
      </c>
      <c r="D33" s="62" t="s">
        <v>8</v>
      </c>
      <c r="E33" s="62" t="s">
        <v>13</v>
      </c>
      <c r="F33" s="62">
        <v>45</v>
      </c>
      <c r="G33" s="63">
        <v>120</v>
      </c>
    </row>
    <row r="34" spans="2:7">
      <c r="B34" s="62" t="s">
        <v>59</v>
      </c>
      <c r="C34" s="45" t="s">
        <v>27</v>
      </c>
      <c r="D34" s="62">
        <v>36</v>
      </c>
      <c r="E34" s="62" t="s">
        <v>14</v>
      </c>
      <c r="F34" s="62">
        <v>37</v>
      </c>
      <c r="G34" s="63">
        <v>249.9</v>
      </c>
    </row>
    <row r="35" spans="2:7">
      <c r="B35" s="62" t="s">
        <v>60</v>
      </c>
      <c r="C35" s="45" t="s">
        <v>27</v>
      </c>
      <c r="D35" s="62">
        <v>37</v>
      </c>
      <c r="E35" s="62" t="s">
        <v>14</v>
      </c>
      <c r="F35" s="62">
        <v>41</v>
      </c>
      <c r="G35" s="63">
        <v>255</v>
      </c>
    </row>
    <row r="36" spans="2:7">
      <c r="B36" s="62" t="s">
        <v>61</v>
      </c>
      <c r="C36" s="45" t="s">
        <v>27</v>
      </c>
      <c r="D36" s="62">
        <v>38</v>
      </c>
      <c r="E36" s="62" t="s">
        <v>14</v>
      </c>
      <c r="F36" s="62">
        <v>30</v>
      </c>
      <c r="G36" s="63">
        <v>259.89999999999998</v>
      </c>
    </row>
    <row r="37" spans="2:7">
      <c r="B37" s="62" t="s">
        <v>62</v>
      </c>
      <c r="C37" s="45" t="s">
        <v>124</v>
      </c>
      <c r="D37" s="62">
        <v>36</v>
      </c>
      <c r="E37" s="62" t="s">
        <v>14</v>
      </c>
      <c r="F37" s="62">
        <v>27</v>
      </c>
      <c r="G37" s="63">
        <v>245</v>
      </c>
    </row>
    <row r="38" spans="2:7">
      <c r="B38" s="62" t="s">
        <v>63</v>
      </c>
      <c r="C38" s="45" t="s">
        <v>124</v>
      </c>
      <c r="D38" s="62">
        <v>37</v>
      </c>
      <c r="E38" s="62" t="s">
        <v>14</v>
      </c>
      <c r="F38" s="62">
        <v>41</v>
      </c>
      <c r="G38" s="63">
        <v>250</v>
      </c>
    </row>
    <row r="39" spans="2:7">
      <c r="B39" s="62" t="s">
        <v>64</v>
      </c>
      <c r="C39" s="45" t="s">
        <v>124</v>
      </c>
      <c r="D39" s="62">
        <v>38</v>
      </c>
      <c r="E39" s="62" t="s">
        <v>14</v>
      </c>
      <c r="F39" s="62">
        <v>43</v>
      </c>
      <c r="G39" s="63">
        <v>259.89999999999998</v>
      </c>
    </row>
    <row r="40" spans="2:7">
      <c r="B40" s="62" t="s">
        <v>65</v>
      </c>
      <c r="C40" s="45" t="s">
        <v>25</v>
      </c>
      <c r="D40" s="62" t="s">
        <v>2</v>
      </c>
      <c r="E40" s="62" t="s">
        <v>12</v>
      </c>
      <c r="F40" s="62">
        <v>43</v>
      </c>
      <c r="G40" s="63">
        <v>89.9</v>
      </c>
    </row>
    <row r="41" spans="2:7">
      <c r="B41" s="62" t="s">
        <v>66</v>
      </c>
      <c r="C41" s="45" t="s">
        <v>25</v>
      </c>
      <c r="D41" s="62" t="s">
        <v>3</v>
      </c>
      <c r="E41" s="62" t="s">
        <v>12</v>
      </c>
      <c r="F41" s="62">
        <v>18</v>
      </c>
      <c r="G41" s="63">
        <v>91.4</v>
      </c>
    </row>
    <row r="42" spans="2:7">
      <c r="B42" s="62" t="s">
        <v>67</v>
      </c>
      <c r="C42" s="45" t="s">
        <v>25</v>
      </c>
      <c r="D42" s="62" t="s">
        <v>4</v>
      </c>
      <c r="E42" s="62" t="s">
        <v>12</v>
      </c>
      <c r="F42" s="62">
        <v>45</v>
      </c>
      <c r="G42" s="63">
        <v>93.5</v>
      </c>
    </row>
    <row r="43" spans="2:7">
      <c r="B43" s="62" t="s">
        <v>68</v>
      </c>
      <c r="C43" s="45" t="s">
        <v>24</v>
      </c>
      <c r="D43" s="62" t="s">
        <v>2</v>
      </c>
      <c r="E43" s="62" t="s">
        <v>12</v>
      </c>
      <c r="F43" s="62">
        <v>34</v>
      </c>
      <c r="G43" s="63">
        <v>140</v>
      </c>
    </row>
    <row r="44" spans="2:7">
      <c r="B44" s="62" t="s">
        <v>69</v>
      </c>
      <c r="C44" s="45" t="s">
        <v>24</v>
      </c>
      <c r="D44" s="62" t="s">
        <v>3</v>
      </c>
      <c r="E44" s="62" t="s">
        <v>12</v>
      </c>
      <c r="F44" s="62">
        <v>47</v>
      </c>
      <c r="G44" s="63">
        <v>142.9</v>
      </c>
    </row>
    <row r="45" spans="2:7">
      <c r="B45" s="62" t="s">
        <v>70</v>
      </c>
      <c r="C45" s="45" t="s">
        <v>24</v>
      </c>
      <c r="D45" s="62" t="s">
        <v>4</v>
      </c>
      <c r="E45" s="62" t="s">
        <v>12</v>
      </c>
      <c r="F45" s="62">
        <v>50</v>
      </c>
      <c r="G45" s="63">
        <v>146</v>
      </c>
    </row>
    <row r="46" spans="2:7">
      <c r="B46" s="62" t="s">
        <v>96</v>
      </c>
      <c r="C46" s="45" t="s">
        <v>120</v>
      </c>
      <c r="D46" s="62" t="s">
        <v>2</v>
      </c>
      <c r="E46" s="62" t="s">
        <v>12</v>
      </c>
      <c r="F46" s="62">
        <v>16</v>
      </c>
      <c r="G46" s="64">
        <v>70</v>
      </c>
    </row>
    <row r="47" spans="2:7">
      <c r="B47" s="62" t="s">
        <v>97</v>
      </c>
      <c r="C47" s="45" t="s">
        <v>120</v>
      </c>
      <c r="D47" s="62" t="s">
        <v>3</v>
      </c>
      <c r="E47" s="62" t="s">
        <v>12</v>
      </c>
      <c r="F47" s="62">
        <v>21</v>
      </c>
      <c r="G47" s="64">
        <v>54.9</v>
      </c>
    </row>
    <row r="48" spans="2:7">
      <c r="B48" s="62" t="s">
        <v>98</v>
      </c>
      <c r="C48" s="45" t="s">
        <v>120</v>
      </c>
      <c r="D48" s="62" t="s">
        <v>4</v>
      </c>
      <c r="E48" s="62" t="s">
        <v>12</v>
      </c>
      <c r="F48" s="62">
        <v>43</v>
      </c>
      <c r="G48" s="64">
        <v>54.9</v>
      </c>
    </row>
    <row r="49" spans="2:7">
      <c r="B49" s="62" t="s">
        <v>99</v>
      </c>
      <c r="C49" s="45" t="s">
        <v>100</v>
      </c>
      <c r="D49" s="62" t="s">
        <v>2</v>
      </c>
      <c r="E49" s="62" t="s">
        <v>12</v>
      </c>
      <c r="F49" s="62">
        <v>10</v>
      </c>
      <c r="G49" s="64">
        <v>72.5</v>
      </c>
    </row>
    <row r="50" spans="2:7">
      <c r="B50" s="62" t="s">
        <v>101</v>
      </c>
      <c r="C50" s="45" t="s">
        <v>100</v>
      </c>
      <c r="D50" s="62" t="s">
        <v>3</v>
      </c>
      <c r="E50" s="62" t="s">
        <v>12</v>
      </c>
      <c r="F50" s="62">
        <v>41</v>
      </c>
      <c r="G50" s="64">
        <v>72.5</v>
      </c>
    </row>
    <row r="51" spans="2:7">
      <c r="B51" s="62" t="s">
        <v>102</v>
      </c>
      <c r="C51" s="45" t="s">
        <v>100</v>
      </c>
      <c r="D51" s="62" t="s">
        <v>4</v>
      </c>
      <c r="E51" s="62" t="s">
        <v>12</v>
      </c>
      <c r="F51" s="62">
        <v>49</v>
      </c>
      <c r="G51" s="64">
        <v>72.5</v>
      </c>
    </row>
    <row r="52" spans="2:7">
      <c r="B52" s="62" t="s">
        <v>103</v>
      </c>
      <c r="C52" s="45" t="s">
        <v>104</v>
      </c>
      <c r="D52" s="62" t="s">
        <v>2</v>
      </c>
      <c r="E52" s="62" t="s">
        <v>12</v>
      </c>
      <c r="F52" s="62">
        <v>15</v>
      </c>
      <c r="G52" s="64">
        <v>289.89999999999998</v>
      </c>
    </row>
    <row r="53" spans="2:7">
      <c r="B53" s="62" t="s">
        <v>105</v>
      </c>
      <c r="C53" s="45" t="s">
        <v>104</v>
      </c>
      <c r="D53" s="62" t="s">
        <v>3</v>
      </c>
      <c r="E53" s="62" t="s">
        <v>12</v>
      </c>
      <c r="F53" s="62">
        <v>34</v>
      </c>
      <c r="G53" s="64">
        <v>289.89999999999998</v>
      </c>
    </row>
    <row r="54" spans="2:7">
      <c r="B54" s="62" t="s">
        <v>106</v>
      </c>
      <c r="C54" s="45" t="s">
        <v>104</v>
      </c>
      <c r="D54" s="62" t="s">
        <v>4</v>
      </c>
      <c r="E54" s="62" t="s">
        <v>12</v>
      </c>
      <c r="F54" s="62">
        <v>21</v>
      </c>
      <c r="G54" s="64">
        <v>289.89999999999998</v>
      </c>
    </row>
    <row r="55" spans="2:7">
      <c r="B55" s="62" t="s">
        <v>107</v>
      </c>
      <c r="C55" s="45" t="s">
        <v>108</v>
      </c>
      <c r="D55" s="62" t="s">
        <v>2</v>
      </c>
      <c r="E55" s="62" t="s">
        <v>12</v>
      </c>
      <c r="F55" s="62">
        <v>40</v>
      </c>
      <c r="G55" s="64">
        <v>32.9</v>
      </c>
    </row>
    <row r="56" spans="2:7">
      <c r="B56" s="62" t="s">
        <v>109</v>
      </c>
      <c r="C56" s="45" t="s">
        <v>108</v>
      </c>
      <c r="D56" s="62" t="s">
        <v>3</v>
      </c>
      <c r="E56" s="62" t="s">
        <v>12</v>
      </c>
      <c r="F56" s="62">
        <v>42</v>
      </c>
      <c r="G56" s="64">
        <v>32.9</v>
      </c>
    </row>
    <row r="57" spans="2:7">
      <c r="B57" s="62" t="s">
        <v>110</v>
      </c>
      <c r="C57" s="45" t="s">
        <v>108</v>
      </c>
      <c r="D57" s="62" t="s">
        <v>4</v>
      </c>
      <c r="E57" s="62" t="s">
        <v>12</v>
      </c>
      <c r="F57" s="62">
        <v>48</v>
      </c>
      <c r="G57" s="64">
        <v>32.9</v>
      </c>
    </row>
    <row r="58" spans="2:7">
      <c r="B58" s="62" t="s">
        <v>111</v>
      </c>
      <c r="C58" s="45" t="s">
        <v>112</v>
      </c>
      <c r="D58" s="62" t="s">
        <v>2</v>
      </c>
      <c r="E58" s="62" t="s">
        <v>12</v>
      </c>
      <c r="F58" s="62">
        <v>35</v>
      </c>
      <c r="G58" s="64">
        <v>49.9</v>
      </c>
    </row>
    <row r="59" spans="2:7">
      <c r="B59" s="62" t="s">
        <v>113</v>
      </c>
      <c r="C59" s="45" t="s">
        <v>112</v>
      </c>
      <c r="D59" s="62" t="s">
        <v>3</v>
      </c>
      <c r="E59" s="62" t="s">
        <v>12</v>
      </c>
      <c r="F59" s="62">
        <v>40</v>
      </c>
      <c r="G59" s="64">
        <v>49.9</v>
      </c>
    </row>
    <row r="60" spans="2:7">
      <c r="B60" s="62" t="s">
        <v>114</v>
      </c>
      <c r="C60" s="45" t="s">
        <v>112</v>
      </c>
      <c r="D60" s="62" t="s">
        <v>4</v>
      </c>
      <c r="E60" s="62" t="s">
        <v>12</v>
      </c>
      <c r="F60" s="62">
        <v>18</v>
      </c>
      <c r="G60" s="64">
        <v>49.9</v>
      </c>
    </row>
    <row r="61" spans="2:7">
      <c r="B61" s="62" t="s">
        <v>115</v>
      </c>
      <c r="C61" s="45" t="s">
        <v>117</v>
      </c>
      <c r="D61" s="62">
        <v>35</v>
      </c>
      <c r="E61" s="62" t="s">
        <v>14</v>
      </c>
      <c r="F61" s="62">
        <v>48</v>
      </c>
      <c r="G61" s="64">
        <v>89.9</v>
      </c>
    </row>
    <row r="62" spans="2:7">
      <c r="B62" s="62" t="s">
        <v>116</v>
      </c>
      <c r="C62" s="45" t="s">
        <v>117</v>
      </c>
      <c r="D62" s="62">
        <v>36</v>
      </c>
      <c r="E62" s="62" t="s">
        <v>14</v>
      </c>
      <c r="F62" s="62">
        <v>38</v>
      </c>
      <c r="G62" s="63">
        <v>89.9</v>
      </c>
    </row>
    <row r="63" spans="2:7">
      <c r="B63" s="62" t="s">
        <v>118</v>
      </c>
      <c r="C63" s="45" t="s">
        <v>117</v>
      </c>
      <c r="D63" s="62">
        <v>37</v>
      </c>
      <c r="E63" s="62" t="s">
        <v>14</v>
      </c>
      <c r="F63" s="62">
        <v>45</v>
      </c>
      <c r="G63" s="63">
        <v>89.9</v>
      </c>
    </row>
    <row r="64" spans="2:7">
      <c r="B64" s="62" t="s">
        <v>119</v>
      </c>
      <c r="C64" s="45" t="s">
        <v>121</v>
      </c>
      <c r="D64" s="62" t="s">
        <v>2</v>
      </c>
      <c r="E64" s="62" t="s">
        <v>12</v>
      </c>
      <c r="F64" s="62">
        <v>40</v>
      </c>
      <c r="G64" s="63">
        <v>180</v>
      </c>
    </row>
    <row r="65" spans="2:7">
      <c r="B65" s="62" t="s">
        <v>122</v>
      </c>
      <c r="C65" s="45" t="s">
        <v>121</v>
      </c>
      <c r="D65" s="62" t="s">
        <v>3</v>
      </c>
      <c r="E65" s="62" t="s">
        <v>12</v>
      </c>
      <c r="F65" s="62">
        <v>0</v>
      </c>
      <c r="G65" s="63">
        <v>180</v>
      </c>
    </row>
    <row r="66" spans="2:7">
      <c r="B66" s="62" t="s">
        <v>123</v>
      </c>
      <c r="C66" s="45" t="s">
        <v>121</v>
      </c>
      <c r="D66" s="62" t="s">
        <v>4</v>
      </c>
      <c r="E66" s="62" t="s">
        <v>12</v>
      </c>
      <c r="F66" s="62">
        <v>35</v>
      </c>
      <c r="G66" s="63">
        <v>180</v>
      </c>
    </row>
    <row r="67" spans="2:7"/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Q87"/>
  <sheetViews>
    <sheetView topLeftCell="B1" zoomScaleNormal="100" workbookViewId="0">
      <selection activeCell="F5" sqref="F5"/>
    </sheetView>
  </sheetViews>
  <sheetFormatPr defaultColWidth="0" defaultRowHeight="14.4" zeroHeight="1"/>
  <cols>
    <col min="1" max="1" width="0.33203125" style="1" hidden="1" customWidth="1"/>
    <col min="2" max="2" width="9.77734375" style="1" customWidth="1"/>
    <col min="3" max="3" width="14.44140625" style="1" customWidth="1"/>
    <col min="4" max="5" width="13.77734375" style="1" customWidth="1"/>
    <col min="6" max="6" width="10.109375" bestFit="1" customWidth="1"/>
    <col min="7" max="7" width="22.88671875" bestFit="1" customWidth="1"/>
    <col min="8" max="8" width="9.33203125" bestFit="1" customWidth="1"/>
    <col min="9" max="9" width="22.88671875" customWidth="1"/>
    <col min="10" max="10" width="11.77734375" customWidth="1"/>
    <col min="11" max="11" width="19.109375" customWidth="1"/>
    <col min="12" max="12" width="12.5546875" bestFit="1" customWidth="1"/>
    <col min="13" max="13" width="20.33203125" customWidth="1"/>
    <col min="14" max="14" width="17" bestFit="1" customWidth="1"/>
    <col min="15" max="15" width="1.21875" style="79" customWidth="1"/>
    <col min="16" max="17" width="0" style="79" hidden="1" customWidth="1"/>
    <col min="18" max="16384" width="8.88671875" hidden="1"/>
  </cols>
  <sheetData>
    <row r="1" spans="1:14" s="32" customFormat="1" ht="40.200000000000003" customHeight="1">
      <c r="A1" s="35" t="s">
        <v>168</v>
      </c>
      <c r="C1" s="39" t="s">
        <v>134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s="33" customFormat="1" ht="4.5" customHeight="1">
      <c r="A2" s="36"/>
      <c r="B2" s="36"/>
      <c r="C2" s="36"/>
      <c r="D2" s="36"/>
      <c r="E2" s="36"/>
      <c r="F2" s="36"/>
    </row>
    <row r="3" spans="1:14" s="79" customFormat="1" ht="4.5" customHeight="1">
      <c r="A3" s="78"/>
      <c r="B3" s="78"/>
      <c r="C3" s="78"/>
      <c r="D3" s="78"/>
      <c r="E3" s="78"/>
      <c r="F3" s="78"/>
    </row>
    <row r="4" spans="1:14" ht="32.4">
      <c r="A4" s="10" t="s">
        <v>125</v>
      </c>
      <c r="B4" s="65" t="s">
        <v>31</v>
      </c>
      <c r="C4" s="94" t="s">
        <v>76</v>
      </c>
      <c r="D4" s="94" t="s">
        <v>30</v>
      </c>
      <c r="E4" s="94" t="s">
        <v>10</v>
      </c>
      <c r="F4" s="94" t="s">
        <v>15</v>
      </c>
      <c r="G4" s="94" t="s">
        <v>11</v>
      </c>
      <c r="H4" s="94" t="s">
        <v>171</v>
      </c>
      <c r="I4" s="97" t="s">
        <v>172</v>
      </c>
      <c r="J4" s="97" t="s">
        <v>173</v>
      </c>
      <c r="K4" s="97" t="s">
        <v>174</v>
      </c>
      <c r="L4" s="97" t="s">
        <v>175</v>
      </c>
      <c r="M4" s="95" t="s">
        <v>16</v>
      </c>
      <c r="N4" s="65" t="s">
        <v>74</v>
      </c>
    </row>
    <row r="5" spans="1:14">
      <c r="A5" s="9">
        <f>MONTH(TB_Vendas[[#This Row],[Data]])</f>
        <v>1</v>
      </c>
      <c r="B5" s="66" t="str">
        <f>PROPER(TEXT(DATE(,TB_Vendas[[#This Row],[Nº]],1),"Mmm"))</f>
        <v>Jan</v>
      </c>
      <c r="C5" s="67">
        <v>44931</v>
      </c>
      <c r="D5" s="66" t="s">
        <v>37</v>
      </c>
      <c r="E5" s="66" t="str">
        <f>_xlfn.XLOOKUP(TB_Vendas[[#This Row],[Código]],TB_Produtos[Código],TB_Produtos[Categoria])</f>
        <v>Acessórios</v>
      </c>
      <c r="F5" s="62">
        <v>1</v>
      </c>
      <c r="G5" s="68">
        <f>_xlfn.XLOOKUP(TB_Vendas[[#This Row],[Código]],TB_Produtos[Código],TB_Produtos[Preço Unitário])</f>
        <v>39.9</v>
      </c>
      <c r="H5" s="96">
        <f>_xlfn.XMATCH(TB_Vendas[[#This Row],[Categoria]],'Cadastros Auxiliares'!$B$8:$E$8,0)</f>
        <v>2</v>
      </c>
      <c r="I5" s="69">
        <f>VLOOKUP(TB_Vendas[[#This Row],[Qtd]],'Cadastros Auxiliares'!$B$8:$E$13,Vendas!H5,TRUE)</f>
        <v>0</v>
      </c>
      <c r="J5" s="69" cm="1">
        <f t="array" ref="J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</v>
      </c>
      <c r="K5" s="69">
        <f>_xlfn.XLOOKUP(TB_Vendas[[#This Row],[Vendedor]],TB_Vendedor[Código],TB_Vendedor[Desc. Máximo])</f>
        <v>0.25</v>
      </c>
      <c r="L5" s="69">
        <f>IF(TB_Vendas[[#This Row],[Desconto 
(Diretão)]]&lt;=TB_Vendas[[#This Row],[Desconto 
(Vendedor)]],TB_Vendas[[#This Row],[Desconto 
(Diretão)]],TB_Vendas[[#This Row],[Desconto 
(Vendedor)]])</f>
        <v>0</v>
      </c>
      <c r="M5" s="63">
        <f>TB_Vendas[[#This Row],[Preço Unitário]]*TB_Vendas[[#This Row],[Qtd]]</f>
        <v>39.9</v>
      </c>
      <c r="N5" s="62" t="s">
        <v>127</v>
      </c>
    </row>
    <row r="6" spans="1:14">
      <c r="A6" s="9">
        <f>MONTH(TB_Vendas[[#This Row],[Data]])</f>
        <v>1</v>
      </c>
      <c r="B6" s="66" t="str">
        <f>PROPER(TEXT(DATE(,TB_Vendas[[#This Row],[Nº]],1),"Mmm"))</f>
        <v>Jan</v>
      </c>
      <c r="C6" s="67">
        <v>44932</v>
      </c>
      <c r="D6" s="66" t="s">
        <v>36</v>
      </c>
      <c r="E6" s="66" t="str">
        <f>_xlfn.XLOOKUP(TB_Vendas[[#This Row],[Código]],TB_Produtos[Código],TB_Produtos[Categoria])</f>
        <v>Acessórios</v>
      </c>
      <c r="F6" s="62">
        <v>1</v>
      </c>
      <c r="G6" s="68">
        <f>_xlfn.XLOOKUP(TB_Vendas[[#This Row],[Código]],TB_Produtos[Código],TB_Produtos[Preço Unitário])</f>
        <v>259.89999999999998</v>
      </c>
      <c r="H6" s="96">
        <f>_xlfn.XMATCH(TB_Vendas[[#This Row],[Categoria]],'Cadastros Auxiliares'!$B$8:$E$8,0)</f>
        <v>2</v>
      </c>
      <c r="I6" s="69">
        <f>VLOOKUP(TB_Vendas[[#This Row],[Qtd]],'Cadastros Auxiliares'!$B$8:$E$13,Vendas!H6,TRUE)</f>
        <v>0</v>
      </c>
      <c r="J6" s="69" cm="1">
        <f t="array" ref="J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</v>
      </c>
      <c r="K6" s="69">
        <f>_xlfn.XLOOKUP(TB_Vendas[[#This Row],[Vendedor]],TB_Vendedor[Código],TB_Vendedor[Desc. Máximo])</f>
        <v>0.25</v>
      </c>
      <c r="L6" s="69">
        <f>IF(TB_Vendas[[#This Row],[Desconto 
(Diretão)]]&lt;=TB_Vendas[[#This Row],[Desconto 
(Vendedor)]],TB_Vendas[[#This Row],[Desconto 
(Diretão)]],TB_Vendas[[#This Row],[Desconto 
(Vendedor)]])</f>
        <v>0</v>
      </c>
      <c r="M6" s="63">
        <f>TB_Vendas[[#This Row],[Preço Unitário]]*TB_Vendas[[#This Row],[Qtd]]</f>
        <v>259.89999999999998</v>
      </c>
      <c r="N6" s="62" t="s">
        <v>127</v>
      </c>
    </row>
    <row r="7" spans="1:14">
      <c r="A7" s="9">
        <f>MONTH(TB_Vendas[[#This Row],[Data]])</f>
        <v>1</v>
      </c>
      <c r="B7" s="66" t="str">
        <f>PROPER(TEXT(DATE(,TB_Vendas[[#This Row],[Nº]],1),"Mmm"))</f>
        <v>Jan</v>
      </c>
      <c r="C7" s="67">
        <v>44933</v>
      </c>
      <c r="D7" s="66" t="s">
        <v>110</v>
      </c>
      <c r="E7" s="66" t="str">
        <f>_xlfn.XLOOKUP(TB_Vendas[[#This Row],[Código]],TB_Produtos[Código],TB_Produtos[Categoria])</f>
        <v>Vestuário</v>
      </c>
      <c r="F7" s="62">
        <v>2</v>
      </c>
      <c r="G7" s="68">
        <f>_xlfn.XLOOKUP(TB_Vendas[[#This Row],[Código]],TB_Produtos[Código],TB_Produtos[Preço Unitário])</f>
        <v>32.9</v>
      </c>
      <c r="H7" s="96">
        <f>_xlfn.XMATCH(TB_Vendas[[#This Row],[Categoria]],'Cadastros Auxiliares'!$B$8:$E$8,0)</f>
        <v>3</v>
      </c>
      <c r="I7" s="69">
        <f>VLOOKUP(TB_Vendas[[#This Row],[Qtd]],'Cadastros Auxiliares'!$B$8:$E$13,Vendas!H7,TRUE)</f>
        <v>0.15</v>
      </c>
      <c r="J7" s="69" cm="1">
        <f t="array" ref="J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7" s="69">
        <f>_xlfn.XLOOKUP(TB_Vendas[[#This Row],[Vendedor]],TB_Vendedor[Código],TB_Vendedor[Desc. Máximo])</f>
        <v>0.2</v>
      </c>
      <c r="L7" s="69">
        <f>IF(TB_Vendas[[#This Row],[Desconto 
(Diretão)]]&lt;=TB_Vendas[[#This Row],[Desconto 
(Vendedor)]],TB_Vendas[[#This Row],[Desconto 
(Diretão)]],TB_Vendas[[#This Row],[Desconto 
(Vendedor)]])</f>
        <v>0.15</v>
      </c>
      <c r="M7" s="63">
        <f>TB_Vendas[[#This Row],[Preço Unitário]]*TB_Vendas[[#This Row],[Qtd]]</f>
        <v>65.8</v>
      </c>
      <c r="N7" s="62" t="s">
        <v>126</v>
      </c>
    </row>
    <row r="8" spans="1:14">
      <c r="A8" s="9">
        <f>MONTH(TB_Vendas[[#This Row],[Data]])</f>
        <v>1</v>
      </c>
      <c r="B8" s="66" t="str">
        <f>PROPER(TEXT(DATE(,TB_Vendas[[#This Row],[Nº]],1),"Mmm"))</f>
        <v>Jan</v>
      </c>
      <c r="C8" s="67">
        <v>44938</v>
      </c>
      <c r="D8" s="66" t="s">
        <v>42</v>
      </c>
      <c r="E8" s="66" t="str">
        <f>_xlfn.XLOOKUP(TB_Vendas[[#This Row],[Código]],TB_Produtos[Código],TB_Produtos[Categoria])</f>
        <v>Vestuário</v>
      </c>
      <c r="F8" s="62">
        <v>1</v>
      </c>
      <c r="G8" s="68">
        <f>_xlfn.XLOOKUP(TB_Vendas[[#This Row],[Código]],TB_Produtos[Código],TB_Produtos[Preço Unitário])</f>
        <v>46.9</v>
      </c>
      <c r="H8" s="96">
        <f>_xlfn.XMATCH(TB_Vendas[[#This Row],[Categoria]],'Cadastros Auxiliares'!$B$8:$E$8,0)</f>
        <v>3</v>
      </c>
      <c r="I8" s="69">
        <f>VLOOKUP(TB_Vendas[[#This Row],[Qtd]],'Cadastros Auxiliares'!$B$8:$E$13,Vendas!H8,TRUE)</f>
        <v>0.1</v>
      </c>
      <c r="J8" s="69" cm="1">
        <f t="array" ref="J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8" s="69">
        <f>_xlfn.XLOOKUP(TB_Vendas[[#This Row],[Vendedor]],TB_Vendedor[Código],TB_Vendedor[Desc. Máximo])</f>
        <v>0.15</v>
      </c>
      <c r="L8" s="69">
        <f>IF(TB_Vendas[[#This Row],[Desconto 
(Diretão)]]&lt;=TB_Vendas[[#This Row],[Desconto 
(Vendedor)]],TB_Vendas[[#This Row],[Desconto 
(Diretão)]],TB_Vendas[[#This Row],[Desconto 
(Vendedor)]])</f>
        <v>0.1</v>
      </c>
      <c r="M8" s="63">
        <f>TB_Vendas[[#This Row],[Preço Unitário]]*TB_Vendas[[#This Row],[Qtd]]</f>
        <v>46.9</v>
      </c>
      <c r="N8" s="62" t="s">
        <v>130</v>
      </c>
    </row>
    <row r="9" spans="1:14">
      <c r="A9" s="9">
        <f>MONTH(TB_Vendas[[#This Row],[Data]])</f>
        <v>1</v>
      </c>
      <c r="B9" s="66" t="str">
        <f>PROPER(TEXT(DATE(,TB_Vendas[[#This Row],[Nº]],1),"Mmm"))</f>
        <v>Jan</v>
      </c>
      <c r="C9" s="67">
        <v>44939</v>
      </c>
      <c r="D9" s="66" t="s">
        <v>48</v>
      </c>
      <c r="E9" s="66" t="str">
        <f>_xlfn.XLOOKUP(TB_Vendas[[#This Row],[Código]],TB_Produtos[Código],TB_Produtos[Categoria])</f>
        <v>Vestuário</v>
      </c>
      <c r="F9" s="62">
        <v>1</v>
      </c>
      <c r="G9" s="68">
        <f>_xlfn.XLOOKUP(TB_Vendas[[#This Row],[Código]],TB_Produtos[Código],TB_Produtos[Preço Unitário])</f>
        <v>29.9</v>
      </c>
      <c r="H9" s="96">
        <f>_xlfn.XMATCH(TB_Vendas[[#This Row],[Categoria]],'Cadastros Auxiliares'!$B$8:$E$8,0)</f>
        <v>3</v>
      </c>
      <c r="I9" s="69">
        <f>VLOOKUP(TB_Vendas[[#This Row],[Qtd]],'Cadastros Auxiliares'!$B$8:$E$13,Vendas!H9,TRUE)</f>
        <v>0.1</v>
      </c>
      <c r="J9" s="69" cm="1">
        <f t="array" ref="J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9" s="69">
        <f>_xlfn.XLOOKUP(TB_Vendas[[#This Row],[Vendedor]],TB_Vendedor[Código],TB_Vendedor[Desc. Máximo])</f>
        <v>0.25</v>
      </c>
      <c r="L9" s="69">
        <f>IF(TB_Vendas[[#This Row],[Desconto 
(Diretão)]]&lt;=TB_Vendas[[#This Row],[Desconto 
(Vendedor)]],TB_Vendas[[#This Row],[Desconto 
(Diretão)]],TB_Vendas[[#This Row],[Desconto 
(Vendedor)]])</f>
        <v>0.1</v>
      </c>
      <c r="M9" s="63">
        <f>TB_Vendas[[#This Row],[Preço Unitário]]*TB_Vendas[[#This Row],[Qtd]]</f>
        <v>29.9</v>
      </c>
      <c r="N9" s="62" t="s">
        <v>127</v>
      </c>
    </row>
    <row r="10" spans="1:14">
      <c r="A10" s="9">
        <f>MONTH(TB_Vendas[[#This Row],[Data]])</f>
        <v>1</v>
      </c>
      <c r="B10" s="66" t="str">
        <f>PROPER(TEXT(DATE(,TB_Vendas[[#This Row],[Nº]],1),"Mmm"))</f>
        <v>Jan</v>
      </c>
      <c r="C10" s="67">
        <v>44943</v>
      </c>
      <c r="D10" s="66" t="s">
        <v>56</v>
      </c>
      <c r="E10" s="66" t="str">
        <f>_xlfn.XLOOKUP(TB_Vendas[[#This Row],[Código]],TB_Produtos[Código],TB_Produtos[Categoria])</f>
        <v>Vestuário</v>
      </c>
      <c r="F10" s="62">
        <v>1</v>
      </c>
      <c r="G10" s="68">
        <f>_xlfn.XLOOKUP(TB_Vendas[[#This Row],[Código]],TB_Produtos[Código],TB_Produtos[Preço Unitário])</f>
        <v>299.89999999999998</v>
      </c>
      <c r="H10" s="96">
        <f>_xlfn.XMATCH(TB_Vendas[[#This Row],[Categoria]],'Cadastros Auxiliares'!$B$8:$E$8,0)</f>
        <v>3</v>
      </c>
      <c r="I10" s="69">
        <f>VLOOKUP(TB_Vendas[[#This Row],[Qtd]],'Cadastros Auxiliares'!$B$8:$E$13,Vendas!H10,TRUE)</f>
        <v>0.1</v>
      </c>
      <c r="J10" s="69" cm="1">
        <f t="array" ref="J1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10" s="69">
        <f>_xlfn.XLOOKUP(TB_Vendas[[#This Row],[Vendedor]],TB_Vendedor[Código],TB_Vendedor[Desc. Máximo])</f>
        <v>0.15</v>
      </c>
      <c r="L10" s="69">
        <f>IF(TB_Vendas[[#This Row],[Desconto 
(Diretão)]]&lt;=TB_Vendas[[#This Row],[Desconto 
(Vendedor)]],TB_Vendas[[#This Row],[Desconto 
(Diretão)]],TB_Vendas[[#This Row],[Desconto 
(Vendedor)]])</f>
        <v>0.1</v>
      </c>
      <c r="M10" s="63">
        <f>TB_Vendas[[#This Row],[Preço Unitário]]*TB_Vendas[[#This Row],[Qtd]]</f>
        <v>299.89999999999998</v>
      </c>
      <c r="N10" s="62" t="s">
        <v>130</v>
      </c>
    </row>
    <row r="11" spans="1:14">
      <c r="A11" s="9">
        <f>MONTH(TB_Vendas[[#This Row],[Data]])</f>
        <v>1</v>
      </c>
      <c r="B11" s="66" t="str">
        <f>PROPER(TEXT(DATE(,TB_Vendas[[#This Row],[Nº]],1),"Mmm"))</f>
        <v>Jan</v>
      </c>
      <c r="C11" s="67">
        <v>44949</v>
      </c>
      <c r="D11" s="66" t="s">
        <v>70</v>
      </c>
      <c r="E11" s="66" t="str">
        <f>_xlfn.XLOOKUP(TB_Vendas[[#This Row],[Código]],TB_Produtos[Código],TB_Produtos[Categoria])</f>
        <v>Vestuário</v>
      </c>
      <c r="F11" s="62">
        <v>1</v>
      </c>
      <c r="G11" s="68">
        <f>_xlfn.XLOOKUP(TB_Vendas[[#This Row],[Código]],TB_Produtos[Código],TB_Produtos[Preço Unitário])</f>
        <v>146</v>
      </c>
      <c r="H11" s="96">
        <f>_xlfn.XMATCH(TB_Vendas[[#This Row],[Categoria]],'Cadastros Auxiliares'!$B$8:$E$8,0)</f>
        <v>3</v>
      </c>
      <c r="I11" s="69">
        <f>VLOOKUP(TB_Vendas[[#This Row],[Qtd]],'Cadastros Auxiliares'!$B$8:$E$13,Vendas!H11,TRUE)</f>
        <v>0.1</v>
      </c>
      <c r="J11" s="69" cm="1">
        <f t="array" ref="J1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11" s="69">
        <f>_xlfn.XLOOKUP(TB_Vendas[[#This Row],[Vendedor]],TB_Vendedor[Código],TB_Vendedor[Desc. Máximo])</f>
        <v>0.1</v>
      </c>
      <c r="L11" s="69">
        <f>IF(TB_Vendas[[#This Row],[Desconto 
(Diretão)]]&lt;=TB_Vendas[[#This Row],[Desconto 
(Vendedor)]],TB_Vendas[[#This Row],[Desconto 
(Diretão)]],TB_Vendas[[#This Row],[Desconto 
(Vendedor)]])</f>
        <v>0.1</v>
      </c>
      <c r="M11" s="63">
        <f>TB_Vendas[[#This Row],[Preço Unitário]]*TB_Vendas[[#This Row],[Qtd]]</f>
        <v>146</v>
      </c>
      <c r="N11" s="62" t="s">
        <v>128</v>
      </c>
    </row>
    <row r="12" spans="1:14">
      <c r="A12" s="9">
        <f>MONTH(TB_Vendas[[#This Row],[Data]])</f>
        <v>1</v>
      </c>
      <c r="B12" s="66" t="str">
        <f>PROPER(TEXT(DATE(,TB_Vendas[[#This Row],[Nº]],1),"Mmm"))</f>
        <v>Jan</v>
      </c>
      <c r="C12" s="67">
        <v>44952</v>
      </c>
      <c r="D12" s="66" t="s">
        <v>65</v>
      </c>
      <c r="E12" s="66" t="str">
        <f>_xlfn.XLOOKUP(TB_Vendas[[#This Row],[Código]],TB_Produtos[Código],TB_Produtos[Categoria])</f>
        <v>Vestuário</v>
      </c>
      <c r="F12" s="62">
        <v>2</v>
      </c>
      <c r="G12" s="68">
        <f>_xlfn.XLOOKUP(TB_Vendas[[#This Row],[Código]],TB_Produtos[Código],TB_Produtos[Preço Unitário])</f>
        <v>89.9</v>
      </c>
      <c r="H12" s="96">
        <f>_xlfn.XMATCH(TB_Vendas[[#This Row],[Categoria]],'Cadastros Auxiliares'!$B$8:$E$8,0)</f>
        <v>3</v>
      </c>
      <c r="I12" s="69">
        <f>VLOOKUP(TB_Vendas[[#This Row],[Qtd]],'Cadastros Auxiliares'!$B$8:$E$13,Vendas!H12,TRUE)</f>
        <v>0.15</v>
      </c>
      <c r="J12" s="69" cm="1">
        <f t="array" ref="J1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12" s="69">
        <f>_xlfn.XLOOKUP(TB_Vendas[[#This Row],[Vendedor]],TB_Vendedor[Código],TB_Vendedor[Desc. Máximo])</f>
        <v>0.1</v>
      </c>
      <c r="L12" s="69">
        <f>IF(TB_Vendas[[#This Row],[Desconto 
(Diretão)]]&lt;=TB_Vendas[[#This Row],[Desconto 
(Vendedor)]],TB_Vendas[[#This Row],[Desconto 
(Diretão)]],TB_Vendas[[#This Row],[Desconto 
(Vendedor)]])</f>
        <v>0.1</v>
      </c>
      <c r="M12" s="63">
        <f>TB_Vendas[[#This Row],[Preço Unitário]]*TB_Vendas[[#This Row],[Qtd]]</f>
        <v>179.8</v>
      </c>
      <c r="N12" s="62" t="s">
        <v>128</v>
      </c>
    </row>
    <row r="13" spans="1:14">
      <c r="A13" s="9">
        <f>MONTH(TB_Vendas[[#This Row],[Data]])</f>
        <v>1</v>
      </c>
      <c r="B13" s="66" t="str">
        <f>PROPER(TEXT(DATE(,TB_Vendas[[#This Row],[Nº]],1),"Mmm"))</f>
        <v>Jan</v>
      </c>
      <c r="C13" s="67">
        <v>44954</v>
      </c>
      <c r="D13" s="66" t="s">
        <v>63</v>
      </c>
      <c r="E13" s="66" t="str">
        <f>_xlfn.XLOOKUP(TB_Vendas[[#This Row],[Código]],TB_Produtos[Código],TB_Produtos[Categoria])</f>
        <v>Calçado</v>
      </c>
      <c r="F13" s="62">
        <v>2</v>
      </c>
      <c r="G13" s="68">
        <f>_xlfn.XLOOKUP(TB_Vendas[[#This Row],[Código]],TB_Produtos[Código],TB_Produtos[Preço Unitário])</f>
        <v>250</v>
      </c>
      <c r="H13" s="96">
        <f>_xlfn.XMATCH(TB_Vendas[[#This Row],[Categoria]],'Cadastros Auxiliares'!$B$8:$E$8,0)</f>
        <v>4</v>
      </c>
      <c r="I13" s="69">
        <f>VLOOKUP(TB_Vendas[[#This Row],[Qtd]],'Cadastros Auxiliares'!$B$8:$E$13,Vendas!H13,TRUE)</f>
        <v>0.1</v>
      </c>
      <c r="J13" s="69" cm="1">
        <f t="array" ref="J1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13" s="69">
        <f>_xlfn.XLOOKUP(TB_Vendas[[#This Row],[Vendedor]],TB_Vendedor[Código],TB_Vendedor[Desc. Máximo])</f>
        <v>0.25</v>
      </c>
      <c r="L13" s="69">
        <f>IF(TB_Vendas[[#This Row],[Desconto 
(Diretão)]]&lt;=TB_Vendas[[#This Row],[Desconto 
(Vendedor)]],TB_Vendas[[#This Row],[Desconto 
(Diretão)]],TB_Vendas[[#This Row],[Desconto 
(Vendedor)]])</f>
        <v>0.1</v>
      </c>
      <c r="M13" s="63">
        <f>TB_Vendas[[#This Row],[Preço Unitário]]*TB_Vendas[[#This Row],[Qtd]]</f>
        <v>500</v>
      </c>
      <c r="N13" s="62" t="s">
        <v>127</v>
      </c>
    </row>
    <row r="14" spans="1:14">
      <c r="A14" s="9">
        <f>MONTH(TB_Vendas[[#This Row],[Data]])</f>
        <v>1</v>
      </c>
      <c r="B14" s="66" t="str">
        <f>PROPER(TEXT(DATE(,TB_Vendas[[#This Row],[Nº]],1),"Mmm"))</f>
        <v>Jan</v>
      </c>
      <c r="C14" s="67">
        <v>44955</v>
      </c>
      <c r="D14" s="66" t="s">
        <v>44</v>
      </c>
      <c r="E14" s="66" t="str">
        <f>_xlfn.XLOOKUP(TB_Vendas[[#This Row],[Código]],TB_Produtos[Código],TB_Produtos[Categoria])</f>
        <v>Vestuário</v>
      </c>
      <c r="F14" s="62">
        <v>1</v>
      </c>
      <c r="G14" s="68">
        <f>_xlfn.XLOOKUP(TB_Vendas[[#This Row],[Código]],TB_Produtos[Código],TB_Produtos[Preço Unitário])</f>
        <v>39.9</v>
      </c>
      <c r="H14" s="96">
        <f>_xlfn.XMATCH(TB_Vendas[[#This Row],[Categoria]],'Cadastros Auxiliares'!$B$8:$E$8,0)</f>
        <v>3</v>
      </c>
      <c r="I14" s="69">
        <f>VLOOKUP(TB_Vendas[[#This Row],[Qtd]],'Cadastros Auxiliares'!$B$8:$E$13,Vendas!H14,TRUE)</f>
        <v>0.1</v>
      </c>
      <c r="J14" s="69" cm="1">
        <f t="array" ref="J1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14" s="69">
        <f>_xlfn.XLOOKUP(TB_Vendas[[#This Row],[Vendedor]],TB_Vendedor[Código],TB_Vendedor[Desc. Máximo])</f>
        <v>0.25</v>
      </c>
      <c r="L14" s="69">
        <f>IF(TB_Vendas[[#This Row],[Desconto 
(Diretão)]]&lt;=TB_Vendas[[#This Row],[Desconto 
(Vendedor)]],TB_Vendas[[#This Row],[Desconto 
(Diretão)]],TB_Vendas[[#This Row],[Desconto 
(Vendedor)]])</f>
        <v>0.1</v>
      </c>
      <c r="M14" s="63">
        <f>TB_Vendas[[#This Row],[Preço Unitário]]*TB_Vendas[[#This Row],[Qtd]]</f>
        <v>39.9</v>
      </c>
      <c r="N14" s="62" t="s">
        <v>127</v>
      </c>
    </row>
    <row r="15" spans="1:14">
      <c r="A15" s="9">
        <f>MONTH(TB_Vendas[[#This Row],[Data]])</f>
        <v>1</v>
      </c>
      <c r="B15" s="66" t="str">
        <f>PROPER(TEXT(DATE(,TB_Vendas[[#This Row],[Nº]],1),"Mmm"))</f>
        <v>Jan</v>
      </c>
      <c r="C15" s="67">
        <v>44956</v>
      </c>
      <c r="D15" s="66" t="s">
        <v>69</v>
      </c>
      <c r="E15" s="66" t="str">
        <f>_xlfn.XLOOKUP(TB_Vendas[[#This Row],[Código]],TB_Produtos[Código],TB_Produtos[Categoria])</f>
        <v>Vestuário</v>
      </c>
      <c r="F15" s="62">
        <v>1</v>
      </c>
      <c r="G15" s="68">
        <f>_xlfn.XLOOKUP(TB_Vendas[[#This Row],[Código]],TB_Produtos[Código],TB_Produtos[Preço Unitário])</f>
        <v>142.9</v>
      </c>
      <c r="H15" s="96">
        <f>_xlfn.XMATCH(TB_Vendas[[#This Row],[Categoria]],'Cadastros Auxiliares'!$B$8:$E$8,0)</f>
        <v>3</v>
      </c>
      <c r="I15" s="69">
        <f>VLOOKUP(TB_Vendas[[#This Row],[Qtd]],'Cadastros Auxiliares'!$B$8:$E$13,Vendas!H15,TRUE)</f>
        <v>0.1</v>
      </c>
      <c r="J15" s="69" cm="1">
        <f t="array" ref="J1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15" s="69">
        <f>_xlfn.XLOOKUP(TB_Vendas[[#This Row],[Vendedor]],TB_Vendedor[Código],TB_Vendedor[Desc. Máximo])</f>
        <v>0.2</v>
      </c>
      <c r="L15" s="69">
        <f>IF(TB_Vendas[[#This Row],[Desconto 
(Diretão)]]&lt;=TB_Vendas[[#This Row],[Desconto 
(Vendedor)]],TB_Vendas[[#This Row],[Desconto 
(Diretão)]],TB_Vendas[[#This Row],[Desconto 
(Vendedor)]])</f>
        <v>0.1</v>
      </c>
      <c r="M15" s="63">
        <f>TB_Vendas[[#This Row],[Preço Unitário]]*TB_Vendas[[#This Row],[Qtd]]</f>
        <v>142.9</v>
      </c>
      <c r="N15" s="62" t="s">
        <v>129</v>
      </c>
    </row>
    <row r="16" spans="1:14">
      <c r="A16" s="9">
        <f>MONTH(TB_Vendas[[#This Row],[Data]])</f>
        <v>2</v>
      </c>
      <c r="B16" s="66" t="str">
        <f>PROPER(TEXT(DATE(,TB_Vendas[[#This Row],[Nº]],1),"Mmm"))</f>
        <v>Fev</v>
      </c>
      <c r="C16" s="67">
        <v>44960</v>
      </c>
      <c r="D16" s="66" t="s">
        <v>53</v>
      </c>
      <c r="E16" s="66" t="str">
        <f>_xlfn.XLOOKUP(TB_Vendas[[#This Row],[Código]],TB_Produtos[Código],TB_Produtos[Categoria])</f>
        <v>Vestuário</v>
      </c>
      <c r="F16" s="62">
        <v>1</v>
      </c>
      <c r="G16" s="68">
        <f>_xlfn.XLOOKUP(TB_Vendas[[#This Row],[Código]],TB_Produtos[Código],TB_Produtos[Preço Unitário])</f>
        <v>300</v>
      </c>
      <c r="H16" s="96">
        <f>_xlfn.XMATCH(TB_Vendas[[#This Row],[Categoria]],'Cadastros Auxiliares'!$B$8:$E$8,0)</f>
        <v>3</v>
      </c>
      <c r="I16" s="69">
        <f>VLOOKUP(TB_Vendas[[#This Row],[Qtd]],'Cadastros Auxiliares'!$B$8:$E$13,Vendas!H16,TRUE)</f>
        <v>0.1</v>
      </c>
      <c r="J16" s="69" cm="1">
        <f t="array" ref="J1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16" s="69">
        <f>_xlfn.XLOOKUP(TB_Vendas[[#This Row],[Vendedor]],TB_Vendedor[Código],TB_Vendedor[Desc. Máximo])</f>
        <v>0.1</v>
      </c>
      <c r="L16" s="69">
        <f>IF(TB_Vendas[[#This Row],[Desconto 
(Diretão)]]&lt;=TB_Vendas[[#This Row],[Desconto 
(Vendedor)]],TB_Vendas[[#This Row],[Desconto 
(Diretão)]],TB_Vendas[[#This Row],[Desconto 
(Vendedor)]])</f>
        <v>0.1</v>
      </c>
      <c r="M16" s="63">
        <f>TB_Vendas[[#This Row],[Preço Unitário]]*TB_Vendas[[#This Row],[Qtd]]</f>
        <v>300</v>
      </c>
      <c r="N16" s="62" t="s">
        <v>128</v>
      </c>
    </row>
    <row r="17" spans="1:14">
      <c r="A17" s="9">
        <f>MONTH(TB_Vendas[[#This Row],[Data]])</f>
        <v>2</v>
      </c>
      <c r="B17" s="66" t="str">
        <f>PROPER(TEXT(DATE(,TB_Vendas[[#This Row],[Nº]],1),"Mmm"))</f>
        <v>Fev</v>
      </c>
      <c r="C17" s="67">
        <v>44962</v>
      </c>
      <c r="D17" s="66" t="s">
        <v>106</v>
      </c>
      <c r="E17" s="66" t="str">
        <f>_xlfn.XLOOKUP(TB_Vendas[[#This Row],[Código]],TB_Produtos[Código],TB_Produtos[Categoria])</f>
        <v>Vestuário</v>
      </c>
      <c r="F17" s="62">
        <v>2</v>
      </c>
      <c r="G17" s="68">
        <f>_xlfn.XLOOKUP(TB_Vendas[[#This Row],[Código]],TB_Produtos[Código],TB_Produtos[Preço Unitário])</f>
        <v>289.89999999999998</v>
      </c>
      <c r="H17" s="96">
        <f>_xlfn.XMATCH(TB_Vendas[[#This Row],[Categoria]],'Cadastros Auxiliares'!$B$8:$E$8,0)</f>
        <v>3</v>
      </c>
      <c r="I17" s="69">
        <f>VLOOKUP(TB_Vendas[[#This Row],[Qtd]],'Cadastros Auxiliares'!$B$8:$E$13,Vendas!H17,TRUE)</f>
        <v>0.15</v>
      </c>
      <c r="J17" s="69" cm="1">
        <f t="array" ref="J1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17" s="69">
        <f>_xlfn.XLOOKUP(TB_Vendas[[#This Row],[Vendedor]],TB_Vendedor[Código],TB_Vendedor[Desc. Máximo])</f>
        <v>0.2</v>
      </c>
      <c r="L17" s="69">
        <f>IF(TB_Vendas[[#This Row],[Desconto 
(Diretão)]]&lt;=TB_Vendas[[#This Row],[Desconto 
(Vendedor)]],TB_Vendas[[#This Row],[Desconto 
(Diretão)]],TB_Vendas[[#This Row],[Desconto 
(Vendedor)]])</f>
        <v>0.15</v>
      </c>
      <c r="M17" s="63">
        <f>TB_Vendas[[#This Row],[Preço Unitário]]*TB_Vendas[[#This Row],[Qtd]]</f>
        <v>579.79999999999995</v>
      </c>
      <c r="N17" s="62" t="s">
        <v>129</v>
      </c>
    </row>
    <row r="18" spans="1:14">
      <c r="A18" s="9">
        <f>MONTH(TB_Vendas[[#This Row],[Data]])</f>
        <v>2</v>
      </c>
      <c r="B18" s="66" t="str">
        <f>PROPER(TEXT(DATE(,TB_Vendas[[#This Row],[Nº]],1),"Mmm"))</f>
        <v>Fev</v>
      </c>
      <c r="C18" s="67">
        <v>44975</v>
      </c>
      <c r="D18" s="66" t="s">
        <v>59</v>
      </c>
      <c r="E18" s="66" t="str">
        <f>_xlfn.XLOOKUP(TB_Vendas[[#This Row],[Código]],TB_Produtos[Código],TB_Produtos[Categoria])</f>
        <v>Calçado</v>
      </c>
      <c r="F18" s="62">
        <v>1</v>
      </c>
      <c r="G18" s="68">
        <f>_xlfn.XLOOKUP(TB_Vendas[[#This Row],[Código]],TB_Produtos[Código],TB_Produtos[Preço Unitário])</f>
        <v>249.9</v>
      </c>
      <c r="H18" s="96">
        <f>_xlfn.XMATCH(TB_Vendas[[#This Row],[Categoria]],'Cadastros Auxiliares'!$B$8:$E$8,0)</f>
        <v>4</v>
      </c>
      <c r="I18" s="69">
        <f>VLOOKUP(TB_Vendas[[#This Row],[Qtd]],'Cadastros Auxiliares'!$B$8:$E$13,Vendas!H18,TRUE)</f>
        <v>0</v>
      </c>
      <c r="J18" s="69" cm="1">
        <f t="array" ref="J1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</v>
      </c>
      <c r="K18" s="69">
        <f>_xlfn.XLOOKUP(TB_Vendas[[#This Row],[Vendedor]],TB_Vendedor[Código],TB_Vendedor[Desc. Máximo])</f>
        <v>0.2</v>
      </c>
      <c r="L18" s="69">
        <f>IF(TB_Vendas[[#This Row],[Desconto 
(Diretão)]]&lt;=TB_Vendas[[#This Row],[Desconto 
(Vendedor)]],TB_Vendas[[#This Row],[Desconto 
(Diretão)]],TB_Vendas[[#This Row],[Desconto 
(Vendedor)]])</f>
        <v>0</v>
      </c>
      <c r="M18" s="63">
        <f>TB_Vendas[[#This Row],[Preço Unitário]]*TB_Vendas[[#This Row],[Qtd]]</f>
        <v>249.9</v>
      </c>
      <c r="N18" s="62" t="s">
        <v>129</v>
      </c>
    </row>
    <row r="19" spans="1:14">
      <c r="A19" s="9">
        <f>MONTH(TB_Vendas[[#This Row],[Data]])</f>
        <v>2</v>
      </c>
      <c r="B19" s="66" t="str">
        <f>PROPER(TEXT(DATE(,TB_Vendas[[#This Row],[Nº]],1),"Mmm"))</f>
        <v>Fev</v>
      </c>
      <c r="C19" s="67">
        <v>44978</v>
      </c>
      <c r="D19" s="66" t="s">
        <v>44</v>
      </c>
      <c r="E19" s="66" t="str">
        <f>_xlfn.XLOOKUP(TB_Vendas[[#This Row],[Código]],TB_Produtos[Código],TB_Produtos[Categoria])</f>
        <v>Vestuário</v>
      </c>
      <c r="F19" s="62">
        <v>2</v>
      </c>
      <c r="G19" s="68">
        <f>_xlfn.XLOOKUP(TB_Vendas[[#This Row],[Código]],TB_Produtos[Código],TB_Produtos[Preço Unitário])</f>
        <v>39.9</v>
      </c>
      <c r="H19" s="96">
        <f>_xlfn.XMATCH(TB_Vendas[[#This Row],[Categoria]],'Cadastros Auxiliares'!$B$8:$E$8,0)</f>
        <v>3</v>
      </c>
      <c r="I19" s="69">
        <f>VLOOKUP(TB_Vendas[[#This Row],[Qtd]],'Cadastros Auxiliares'!$B$8:$E$13,Vendas!H19,TRUE)</f>
        <v>0.15</v>
      </c>
      <c r="J19" s="69" cm="1">
        <f t="array" ref="J1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19" s="69">
        <f>_xlfn.XLOOKUP(TB_Vendas[[#This Row],[Vendedor]],TB_Vendedor[Código],TB_Vendedor[Desc. Máximo])</f>
        <v>0.2</v>
      </c>
      <c r="L19" s="69">
        <f>IF(TB_Vendas[[#This Row],[Desconto 
(Diretão)]]&lt;=TB_Vendas[[#This Row],[Desconto 
(Vendedor)]],TB_Vendas[[#This Row],[Desconto 
(Diretão)]],TB_Vendas[[#This Row],[Desconto 
(Vendedor)]])</f>
        <v>0.15</v>
      </c>
      <c r="M19" s="63">
        <f>TB_Vendas[[#This Row],[Preço Unitário]]*TB_Vendas[[#This Row],[Qtd]]</f>
        <v>79.8</v>
      </c>
      <c r="N19" s="62" t="s">
        <v>129</v>
      </c>
    </row>
    <row r="20" spans="1:14">
      <c r="A20" s="9">
        <f>MONTH(TB_Vendas[[#This Row],[Data]])</f>
        <v>2</v>
      </c>
      <c r="B20" s="66" t="str">
        <f>PROPER(TEXT(DATE(,TB_Vendas[[#This Row],[Nº]],1),"Mmm"))</f>
        <v>Fev</v>
      </c>
      <c r="C20" s="67">
        <v>44981</v>
      </c>
      <c r="D20" s="66" t="s">
        <v>103</v>
      </c>
      <c r="E20" s="66" t="str">
        <f>_xlfn.XLOOKUP(TB_Vendas[[#This Row],[Código]],TB_Produtos[Código],TB_Produtos[Categoria])</f>
        <v>Vestuário</v>
      </c>
      <c r="F20" s="62">
        <v>4</v>
      </c>
      <c r="G20" s="68">
        <f>_xlfn.XLOOKUP(TB_Vendas[[#This Row],[Código]],TB_Produtos[Código],TB_Produtos[Preço Unitário])</f>
        <v>289.89999999999998</v>
      </c>
      <c r="H20" s="96">
        <f>_xlfn.XMATCH(TB_Vendas[[#This Row],[Categoria]],'Cadastros Auxiliares'!$B$8:$E$8,0)</f>
        <v>3</v>
      </c>
      <c r="I20" s="69">
        <f>VLOOKUP(TB_Vendas[[#This Row],[Qtd]],'Cadastros Auxiliares'!$B$8:$E$13,Vendas!H20,TRUE)</f>
        <v>0.2</v>
      </c>
      <c r="J20" s="69" cm="1">
        <f t="array" ref="J2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20" s="69">
        <f>_xlfn.XLOOKUP(TB_Vendas[[#This Row],[Vendedor]],TB_Vendedor[Código],TB_Vendedor[Desc. Máximo])</f>
        <v>0.2</v>
      </c>
      <c r="L20" s="69">
        <f>IF(TB_Vendas[[#This Row],[Desconto 
(Diretão)]]&lt;=TB_Vendas[[#This Row],[Desconto 
(Vendedor)]],TB_Vendas[[#This Row],[Desconto 
(Diretão)]],TB_Vendas[[#This Row],[Desconto 
(Vendedor)]])</f>
        <v>0.2</v>
      </c>
      <c r="M20" s="63">
        <f>TB_Vendas[[#This Row],[Preço Unitário]]*TB_Vendas[[#This Row],[Qtd]]</f>
        <v>1159.5999999999999</v>
      </c>
      <c r="N20" s="62" t="s">
        <v>129</v>
      </c>
    </row>
    <row r="21" spans="1:14">
      <c r="A21" s="9">
        <f>MONTH(TB_Vendas[[#This Row],[Data]])</f>
        <v>2</v>
      </c>
      <c r="B21" s="66" t="str">
        <f>PROPER(TEXT(DATE(,TB_Vendas[[#This Row],[Nº]],1),"Mmm"))</f>
        <v>Fev</v>
      </c>
      <c r="C21" s="67">
        <v>44982</v>
      </c>
      <c r="D21" s="66" t="s">
        <v>123</v>
      </c>
      <c r="E21" s="66" t="str">
        <f>_xlfn.XLOOKUP(TB_Vendas[[#This Row],[Código]],TB_Produtos[Código],TB_Produtos[Categoria])</f>
        <v>Vestuário</v>
      </c>
      <c r="F21" s="62">
        <v>3</v>
      </c>
      <c r="G21" s="68">
        <f>_xlfn.XLOOKUP(TB_Vendas[[#This Row],[Código]],TB_Produtos[Código],TB_Produtos[Preço Unitário])</f>
        <v>180</v>
      </c>
      <c r="H21" s="96">
        <f>_xlfn.XMATCH(TB_Vendas[[#This Row],[Categoria]],'Cadastros Auxiliares'!$B$8:$E$8,0)</f>
        <v>3</v>
      </c>
      <c r="I21" s="69">
        <f>VLOOKUP(TB_Vendas[[#This Row],[Qtd]],'Cadastros Auxiliares'!$B$8:$E$13,Vendas!H21,TRUE)</f>
        <v>0.2</v>
      </c>
      <c r="J21" s="69" cm="1">
        <f t="array" ref="J2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21" s="69">
        <f>_xlfn.XLOOKUP(TB_Vendas[[#This Row],[Vendedor]],TB_Vendedor[Código],TB_Vendedor[Desc. Máximo])</f>
        <v>0.25</v>
      </c>
      <c r="L21" s="69">
        <f>IF(TB_Vendas[[#This Row],[Desconto 
(Diretão)]]&lt;=TB_Vendas[[#This Row],[Desconto 
(Vendedor)]],TB_Vendas[[#This Row],[Desconto 
(Diretão)]],TB_Vendas[[#This Row],[Desconto 
(Vendedor)]])</f>
        <v>0.2</v>
      </c>
      <c r="M21" s="63">
        <f>TB_Vendas[[#This Row],[Preço Unitário]]*TB_Vendas[[#This Row],[Qtd]]</f>
        <v>540</v>
      </c>
      <c r="N21" s="62" t="s">
        <v>127</v>
      </c>
    </row>
    <row r="22" spans="1:14">
      <c r="A22" s="9">
        <f>MONTH(TB_Vendas[[#This Row],[Data]])</f>
        <v>2</v>
      </c>
      <c r="B22" s="66" t="str">
        <f>PROPER(TEXT(DATE(,TB_Vendas[[#This Row],[Nº]],1),"Mmm"))</f>
        <v>Fev</v>
      </c>
      <c r="C22" s="67">
        <v>44983</v>
      </c>
      <c r="D22" s="66" t="s">
        <v>109</v>
      </c>
      <c r="E22" s="66" t="str">
        <f>_xlfn.XLOOKUP(TB_Vendas[[#This Row],[Código]],TB_Produtos[Código],TB_Produtos[Categoria])</f>
        <v>Vestuário</v>
      </c>
      <c r="F22" s="62">
        <v>2</v>
      </c>
      <c r="G22" s="68">
        <f>_xlfn.XLOOKUP(TB_Vendas[[#This Row],[Código]],TB_Produtos[Código],TB_Produtos[Preço Unitário])</f>
        <v>32.9</v>
      </c>
      <c r="H22" s="96">
        <f>_xlfn.XMATCH(TB_Vendas[[#This Row],[Categoria]],'Cadastros Auxiliares'!$B$8:$E$8,0)</f>
        <v>3</v>
      </c>
      <c r="I22" s="69">
        <f>VLOOKUP(TB_Vendas[[#This Row],[Qtd]],'Cadastros Auxiliares'!$B$8:$E$13,Vendas!H22,TRUE)</f>
        <v>0.15</v>
      </c>
      <c r="J22" s="69" cm="1">
        <f t="array" ref="J2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22" s="69">
        <f>_xlfn.XLOOKUP(TB_Vendas[[#This Row],[Vendedor]],TB_Vendedor[Código],TB_Vendedor[Desc. Máximo])</f>
        <v>0.2</v>
      </c>
      <c r="L22" s="69">
        <f>IF(TB_Vendas[[#This Row],[Desconto 
(Diretão)]]&lt;=TB_Vendas[[#This Row],[Desconto 
(Vendedor)]],TB_Vendas[[#This Row],[Desconto 
(Diretão)]],TB_Vendas[[#This Row],[Desconto 
(Vendedor)]])</f>
        <v>0.15</v>
      </c>
      <c r="M22" s="63">
        <f>TB_Vendas[[#This Row],[Preço Unitário]]*TB_Vendas[[#This Row],[Qtd]]</f>
        <v>65.8</v>
      </c>
      <c r="N22" s="62" t="s">
        <v>126</v>
      </c>
    </row>
    <row r="23" spans="1:14">
      <c r="A23" s="9">
        <f>MONTH(TB_Vendas[[#This Row],[Data]])</f>
        <v>3</v>
      </c>
      <c r="B23" s="66" t="str">
        <f>PROPER(TEXT(DATE(,TB_Vendas[[#This Row],[Nº]],1),"Mmm"))</f>
        <v>Mar</v>
      </c>
      <c r="C23" s="67">
        <v>44986</v>
      </c>
      <c r="D23" s="66" t="s">
        <v>60</v>
      </c>
      <c r="E23" s="66" t="str">
        <f>_xlfn.XLOOKUP(TB_Vendas[[#This Row],[Código]],TB_Produtos[Código],TB_Produtos[Categoria])</f>
        <v>Calçado</v>
      </c>
      <c r="F23" s="62">
        <v>3</v>
      </c>
      <c r="G23" s="68">
        <f>_xlfn.XLOOKUP(TB_Vendas[[#This Row],[Código]],TB_Produtos[Código],TB_Produtos[Preço Unitário])</f>
        <v>255</v>
      </c>
      <c r="H23" s="96">
        <f>_xlfn.XMATCH(TB_Vendas[[#This Row],[Categoria]],'Cadastros Auxiliares'!$B$8:$E$8,0)</f>
        <v>4</v>
      </c>
      <c r="I23" s="69">
        <f>VLOOKUP(TB_Vendas[[#This Row],[Qtd]],'Cadastros Auxiliares'!$B$8:$E$13,Vendas!H23,TRUE)</f>
        <v>0.15</v>
      </c>
      <c r="J23" s="69" cm="1">
        <f t="array" ref="J2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23" s="69">
        <f>_xlfn.XLOOKUP(TB_Vendas[[#This Row],[Vendedor]],TB_Vendedor[Código],TB_Vendedor[Desc. Máximo])</f>
        <v>0.2</v>
      </c>
      <c r="L23" s="69">
        <f>IF(TB_Vendas[[#This Row],[Desconto 
(Diretão)]]&lt;=TB_Vendas[[#This Row],[Desconto 
(Vendedor)]],TB_Vendas[[#This Row],[Desconto 
(Diretão)]],TB_Vendas[[#This Row],[Desconto 
(Vendedor)]])</f>
        <v>0.15</v>
      </c>
      <c r="M23" s="63">
        <f>TB_Vendas[[#This Row],[Preço Unitário]]*TB_Vendas[[#This Row],[Qtd]]</f>
        <v>765</v>
      </c>
      <c r="N23" s="62" t="s">
        <v>129</v>
      </c>
    </row>
    <row r="24" spans="1:14">
      <c r="A24" s="9">
        <f>MONTH(TB_Vendas[[#This Row],[Data]])</f>
        <v>3</v>
      </c>
      <c r="B24" s="66" t="str">
        <f>PROPER(TEXT(DATE(,TB_Vendas[[#This Row],[Nº]],1),"Mmm"))</f>
        <v>Mar</v>
      </c>
      <c r="C24" s="67">
        <v>44986</v>
      </c>
      <c r="D24" s="66" t="s">
        <v>69</v>
      </c>
      <c r="E24" s="66" t="str">
        <f>_xlfn.XLOOKUP(TB_Vendas[[#This Row],[Código]],TB_Produtos[Código],TB_Produtos[Categoria])</f>
        <v>Vestuário</v>
      </c>
      <c r="F24" s="62">
        <v>1</v>
      </c>
      <c r="G24" s="68">
        <f>_xlfn.XLOOKUP(TB_Vendas[[#This Row],[Código]],TB_Produtos[Código],TB_Produtos[Preço Unitário])</f>
        <v>142.9</v>
      </c>
      <c r="H24" s="96">
        <f>_xlfn.XMATCH(TB_Vendas[[#This Row],[Categoria]],'Cadastros Auxiliares'!$B$8:$E$8,0)</f>
        <v>3</v>
      </c>
      <c r="I24" s="69">
        <f>VLOOKUP(TB_Vendas[[#This Row],[Qtd]],'Cadastros Auxiliares'!$B$8:$E$13,Vendas!H24,TRUE)</f>
        <v>0.1</v>
      </c>
      <c r="J24" s="69" cm="1">
        <f t="array" ref="J2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24" s="69">
        <f>_xlfn.XLOOKUP(TB_Vendas[[#This Row],[Vendedor]],TB_Vendedor[Código],TB_Vendedor[Desc. Máximo])</f>
        <v>0.2</v>
      </c>
      <c r="L24" s="69">
        <f>IF(TB_Vendas[[#This Row],[Desconto 
(Diretão)]]&lt;=TB_Vendas[[#This Row],[Desconto 
(Vendedor)]],TB_Vendas[[#This Row],[Desconto 
(Diretão)]],TB_Vendas[[#This Row],[Desconto 
(Vendedor)]])</f>
        <v>0.1</v>
      </c>
      <c r="M24" s="63">
        <f>TB_Vendas[[#This Row],[Preço Unitário]]*TB_Vendas[[#This Row],[Qtd]]</f>
        <v>142.9</v>
      </c>
      <c r="N24" s="62" t="s">
        <v>126</v>
      </c>
    </row>
    <row r="25" spans="1:14">
      <c r="A25" s="9">
        <f>MONTH(TB_Vendas[[#This Row],[Data]])</f>
        <v>3</v>
      </c>
      <c r="B25" s="66" t="str">
        <f>PROPER(TEXT(DATE(,TB_Vendas[[#This Row],[Nº]],1),"Mmm"))</f>
        <v>Mar</v>
      </c>
      <c r="C25" s="67">
        <v>44987</v>
      </c>
      <c r="D25" s="66" t="s">
        <v>40</v>
      </c>
      <c r="E25" s="66" t="str">
        <f>_xlfn.XLOOKUP(TB_Vendas[[#This Row],[Código]],TB_Produtos[Código],TB_Produtos[Categoria])</f>
        <v>Vestuário</v>
      </c>
      <c r="F25" s="62">
        <v>4</v>
      </c>
      <c r="G25" s="68">
        <f>_xlfn.XLOOKUP(TB_Vendas[[#This Row],[Código]],TB_Produtos[Código],TB_Produtos[Preço Unitário])</f>
        <v>92.9</v>
      </c>
      <c r="H25" s="96">
        <f>_xlfn.XMATCH(TB_Vendas[[#This Row],[Categoria]],'Cadastros Auxiliares'!$B$8:$E$8,0)</f>
        <v>3</v>
      </c>
      <c r="I25" s="69">
        <f>VLOOKUP(TB_Vendas[[#This Row],[Qtd]],'Cadastros Auxiliares'!$B$8:$E$13,Vendas!H25,TRUE)</f>
        <v>0.2</v>
      </c>
      <c r="J25" s="69" cm="1">
        <f t="array" ref="J2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25" s="69">
        <f>_xlfn.XLOOKUP(TB_Vendas[[#This Row],[Vendedor]],TB_Vendedor[Código],TB_Vendedor[Desc. Máximo])</f>
        <v>0.1</v>
      </c>
      <c r="L25" s="69">
        <f>IF(TB_Vendas[[#This Row],[Desconto 
(Diretão)]]&lt;=TB_Vendas[[#This Row],[Desconto 
(Vendedor)]],TB_Vendas[[#This Row],[Desconto 
(Diretão)]],TB_Vendas[[#This Row],[Desconto 
(Vendedor)]])</f>
        <v>0.1</v>
      </c>
      <c r="M25" s="63">
        <f>TB_Vendas[[#This Row],[Preço Unitário]]*TB_Vendas[[#This Row],[Qtd]]</f>
        <v>371.6</v>
      </c>
      <c r="N25" s="62" t="s">
        <v>128</v>
      </c>
    </row>
    <row r="26" spans="1:14">
      <c r="A26" s="9">
        <f>MONTH(TB_Vendas[[#This Row],[Data]])</f>
        <v>3</v>
      </c>
      <c r="B26" s="66" t="str">
        <f>PROPER(TEXT(DATE(,TB_Vendas[[#This Row],[Nº]],1),"Mmm"))</f>
        <v>Mar</v>
      </c>
      <c r="C26" s="67">
        <v>44988</v>
      </c>
      <c r="D26" s="66" t="s">
        <v>98</v>
      </c>
      <c r="E26" s="66" t="str">
        <f>_xlfn.XLOOKUP(TB_Vendas[[#This Row],[Código]],TB_Produtos[Código],TB_Produtos[Categoria])</f>
        <v>Vestuário</v>
      </c>
      <c r="F26" s="62">
        <v>2</v>
      </c>
      <c r="G26" s="68">
        <f>_xlfn.XLOOKUP(TB_Vendas[[#This Row],[Código]],TB_Produtos[Código],TB_Produtos[Preço Unitário])</f>
        <v>54.9</v>
      </c>
      <c r="H26" s="96">
        <f>_xlfn.XMATCH(TB_Vendas[[#This Row],[Categoria]],'Cadastros Auxiliares'!$B$8:$E$8,0)</f>
        <v>3</v>
      </c>
      <c r="I26" s="69">
        <f>VLOOKUP(TB_Vendas[[#This Row],[Qtd]],'Cadastros Auxiliares'!$B$8:$E$13,Vendas!H26,TRUE)</f>
        <v>0.15</v>
      </c>
      <c r="J26" s="69" cm="1">
        <f t="array" ref="J2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26" s="69">
        <f>_xlfn.XLOOKUP(TB_Vendas[[#This Row],[Vendedor]],TB_Vendedor[Código],TB_Vendedor[Desc. Máximo])</f>
        <v>0.2</v>
      </c>
      <c r="L26" s="69">
        <f>IF(TB_Vendas[[#This Row],[Desconto 
(Diretão)]]&lt;=TB_Vendas[[#This Row],[Desconto 
(Vendedor)]],TB_Vendas[[#This Row],[Desconto 
(Diretão)]],TB_Vendas[[#This Row],[Desconto 
(Vendedor)]])</f>
        <v>0.15</v>
      </c>
      <c r="M26" s="63">
        <f>TB_Vendas[[#This Row],[Preço Unitário]]*TB_Vendas[[#This Row],[Qtd]]</f>
        <v>109.8</v>
      </c>
      <c r="N26" s="62" t="s">
        <v>126</v>
      </c>
    </row>
    <row r="27" spans="1:14">
      <c r="A27" s="9">
        <f>MONTH(TB_Vendas[[#This Row],[Data]])</f>
        <v>3</v>
      </c>
      <c r="B27" s="66" t="str">
        <f>PROPER(TEXT(DATE(,TB_Vendas[[#This Row],[Nº]],1),"Mmm"))</f>
        <v>Mar</v>
      </c>
      <c r="C27" s="67">
        <v>44989</v>
      </c>
      <c r="D27" s="66" t="s">
        <v>69</v>
      </c>
      <c r="E27" s="66" t="str">
        <f>_xlfn.XLOOKUP(TB_Vendas[[#This Row],[Código]],TB_Produtos[Código],TB_Produtos[Categoria])</f>
        <v>Vestuário</v>
      </c>
      <c r="F27" s="62">
        <v>3</v>
      </c>
      <c r="G27" s="68">
        <f>_xlfn.XLOOKUP(TB_Vendas[[#This Row],[Código]],TB_Produtos[Código],TB_Produtos[Preço Unitário])</f>
        <v>142.9</v>
      </c>
      <c r="H27" s="96">
        <f>_xlfn.XMATCH(TB_Vendas[[#This Row],[Categoria]],'Cadastros Auxiliares'!$B$8:$E$8,0)</f>
        <v>3</v>
      </c>
      <c r="I27" s="69">
        <f>VLOOKUP(TB_Vendas[[#This Row],[Qtd]],'Cadastros Auxiliares'!$B$8:$E$13,Vendas!H27,TRUE)</f>
        <v>0.2</v>
      </c>
      <c r="J27" s="69" cm="1">
        <f t="array" ref="J2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27" s="69">
        <f>_xlfn.XLOOKUP(TB_Vendas[[#This Row],[Vendedor]],TB_Vendedor[Código],TB_Vendedor[Desc. Máximo])</f>
        <v>0.25</v>
      </c>
      <c r="L27" s="69">
        <f>IF(TB_Vendas[[#This Row],[Desconto 
(Diretão)]]&lt;=TB_Vendas[[#This Row],[Desconto 
(Vendedor)]],TB_Vendas[[#This Row],[Desconto 
(Diretão)]],TB_Vendas[[#This Row],[Desconto 
(Vendedor)]])</f>
        <v>0.2</v>
      </c>
      <c r="M27" s="63">
        <f>TB_Vendas[[#This Row],[Preço Unitário]]*TB_Vendas[[#This Row],[Qtd]]</f>
        <v>428.70000000000005</v>
      </c>
      <c r="N27" s="62" t="s">
        <v>127</v>
      </c>
    </row>
    <row r="28" spans="1:14">
      <c r="A28" s="9">
        <f>MONTH(TB_Vendas[[#This Row],[Data]])</f>
        <v>3</v>
      </c>
      <c r="B28" s="66" t="str">
        <f>PROPER(TEXT(DATE(,TB_Vendas[[#This Row],[Nº]],1),"Mmm"))</f>
        <v>Mar</v>
      </c>
      <c r="C28" s="67">
        <v>44994</v>
      </c>
      <c r="D28" s="66" t="s">
        <v>58</v>
      </c>
      <c r="E28" s="66" t="str">
        <f>_xlfn.XLOOKUP(TB_Vendas[[#This Row],[Código]],TB_Produtos[Código],TB_Produtos[Categoria])</f>
        <v>Acessórios</v>
      </c>
      <c r="F28" s="62">
        <v>2</v>
      </c>
      <c r="G28" s="68">
        <f>_xlfn.XLOOKUP(TB_Vendas[[#This Row],[Código]],TB_Produtos[Código],TB_Produtos[Preço Unitário])</f>
        <v>120</v>
      </c>
      <c r="H28" s="96">
        <f>_xlfn.XMATCH(TB_Vendas[[#This Row],[Categoria]],'Cadastros Auxiliares'!$B$8:$E$8,0)</f>
        <v>2</v>
      </c>
      <c r="I28" s="69">
        <f>VLOOKUP(TB_Vendas[[#This Row],[Qtd]],'Cadastros Auxiliares'!$B$8:$E$13,Vendas!H28,TRUE)</f>
        <v>0.05</v>
      </c>
      <c r="J28" s="69" cm="1">
        <f t="array" ref="J2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0.05</v>
      </c>
      <c r="K28" s="69">
        <f>_xlfn.XLOOKUP(TB_Vendas[[#This Row],[Vendedor]],TB_Vendedor[Código],TB_Vendedor[Desc. Máximo])</f>
        <v>0.25</v>
      </c>
      <c r="L28" s="69">
        <f>IF(TB_Vendas[[#This Row],[Desconto 
(Diretão)]]&lt;=TB_Vendas[[#This Row],[Desconto 
(Vendedor)]],TB_Vendas[[#This Row],[Desconto 
(Diretão)]],TB_Vendas[[#This Row],[Desconto 
(Vendedor)]])</f>
        <v>0.05</v>
      </c>
      <c r="M28" s="63">
        <f>TB_Vendas[[#This Row],[Preço Unitário]]*TB_Vendas[[#This Row],[Qtd]]</f>
        <v>240</v>
      </c>
      <c r="N28" s="62" t="s">
        <v>127</v>
      </c>
    </row>
    <row r="29" spans="1:14">
      <c r="A29" s="9">
        <f>MONTH(TB_Vendas[[#This Row],[Data]])</f>
        <v>3</v>
      </c>
      <c r="B29" s="66" t="str">
        <f>PROPER(TEXT(DATE(,TB_Vendas[[#This Row],[Nº]],1),"Mmm"))</f>
        <v>Mar</v>
      </c>
      <c r="C29" s="67">
        <v>44999</v>
      </c>
      <c r="D29" s="66" t="s">
        <v>32</v>
      </c>
      <c r="E29" s="66" t="str">
        <f>_xlfn.XLOOKUP(TB_Vendas[[#This Row],[Código]],TB_Produtos[Código],TB_Produtos[Categoria])</f>
        <v>Vestuário</v>
      </c>
      <c r="F29" s="62">
        <v>1</v>
      </c>
      <c r="G29" s="68">
        <f>_xlfn.XLOOKUP(TB_Vendas[[#This Row],[Código]],TB_Produtos[Código],TB_Produtos[Preço Unitário])</f>
        <v>65.900000000000006</v>
      </c>
      <c r="H29" s="96">
        <f>_xlfn.XMATCH(TB_Vendas[[#This Row],[Categoria]],'Cadastros Auxiliares'!$B$8:$E$8,0)</f>
        <v>3</v>
      </c>
      <c r="I29" s="69">
        <f>VLOOKUP(TB_Vendas[[#This Row],[Qtd]],'Cadastros Auxiliares'!$B$8:$E$13,Vendas!H29,TRUE)</f>
        <v>0.1</v>
      </c>
      <c r="J29" s="69" cm="1">
        <f t="array" ref="J2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29" s="69">
        <f>_xlfn.XLOOKUP(TB_Vendas[[#This Row],[Vendedor]],TB_Vendedor[Código],TB_Vendedor[Desc. Máximo])</f>
        <v>0.2</v>
      </c>
      <c r="L29" s="69">
        <f>IF(TB_Vendas[[#This Row],[Desconto 
(Diretão)]]&lt;=TB_Vendas[[#This Row],[Desconto 
(Vendedor)]],TB_Vendas[[#This Row],[Desconto 
(Diretão)]],TB_Vendas[[#This Row],[Desconto 
(Vendedor)]])</f>
        <v>0.1</v>
      </c>
      <c r="M29" s="63">
        <f>TB_Vendas[[#This Row],[Preço Unitário]]*TB_Vendas[[#This Row],[Qtd]]</f>
        <v>65.900000000000006</v>
      </c>
      <c r="N29" s="62" t="s">
        <v>129</v>
      </c>
    </row>
    <row r="30" spans="1:14">
      <c r="A30" s="9">
        <f>MONTH(TB_Vendas[[#This Row],[Data]])</f>
        <v>3</v>
      </c>
      <c r="B30" s="66" t="str">
        <f>PROPER(TEXT(DATE(,TB_Vendas[[#This Row],[Nº]],1),"Mmm"))</f>
        <v>Mar</v>
      </c>
      <c r="C30" s="67">
        <v>45004</v>
      </c>
      <c r="D30" s="66" t="s">
        <v>107</v>
      </c>
      <c r="E30" s="66" t="str">
        <f>_xlfn.XLOOKUP(TB_Vendas[[#This Row],[Código]],TB_Produtos[Código],TB_Produtos[Categoria])</f>
        <v>Vestuário</v>
      </c>
      <c r="F30" s="62">
        <v>5</v>
      </c>
      <c r="G30" s="68">
        <f>_xlfn.XLOOKUP(TB_Vendas[[#This Row],[Código]],TB_Produtos[Código],TB_Produtos[Preço Unitário])</f>
        <v>32.9</v>
      </c>
      <c r="H30" s="96">
        <f>_xlfn.XMATCH(TB_Vendas[[#This Row],[Categoria]],'Cadastros Auxiliares'!$B$8:$E$8,0)</f>
        <v>3</v>
      </c>
      <c r="I30" s="69">
        <f>VLOOKUP(TB_Vendas[[#This Row],[Qtd]],'Cadastros Auxiliares'!$B$8:$E$13,Vendas!H30,TRUE)</f>
        <v>0.25</v>
      </c>
      <c r="J30" s="69" cm="1">
        <f t="array" ref="J3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30" s="69">
        <f>_xlfn.XLOOKUP(TB_Vendas[[#This Row],[Vendedor]],TB_Vendedor[Código],TB_Vendedor[Desc. Máximo])</f>
        <v>0.15</v>
      </c>
      <c r="L30" s="69">
        <f>IF(TB_Vendas[[#This Row],[Desconto 
(Diretão)]]&lt;=TB_Vendas[[#This Row],[Desconto 
(Vendedor)]],TB_Vendas[[#This Row],[Desconto 
(Diretão)]],TB_Vendas[[#This Row],[Desconto 
(Vendedor)]])</f>
        <v>0.15</v>
      </c>
      <c r="M30" s="63">
        <f>TB_Vendas[[#This Row],[Preço Unitário]]*TB_Vendas[[#This Row],[Qtd]]</f>
        <v>164.5</v>
      </c>
      <c r="N30" s="62" t="s">
        <v>130</v>
      </c>
    </row>
    <row r="31" spans="1:14">
      <c r="A31" s="9">
        <f>MONTH(TB_Vendas[[#This Row],[Data]])</f>
        <v>3</v>
      </c>
      <c r="B31" s="66" t="str">
        <f>PROPER(TEXT(DATE(,TB_Vendas[[#This Row],[Nº]],1),"Mmm"))</f>
        <v>Mar</v>
      </c>
      <c r="C31" s="67">
        <v>45006</v>
      </c>
      <c r="D31" s="66" t="s">
        <v>122</v>
      </c>
      <c r="E31" s="66" t="str">
        <f>_xlfn.XLOOKUP(TB_Vendas[[#This Row],[Código]],TB_Produtos[Código],TB_Produtos[Categoria])</f>
        <v>Vestuário</v>
      </c>
      <c r="F31" s="62">
        <v>2</v>
      </c>
      <c r="G31" s="68">
        <f>_xlfn.XLOOKUP(TB_Vendas[[#This Row],[Código]],TB_Produtos[Código],TB_Produtos[Preço Unitário])</f>
        <v>180</v>
      </c>
      <c r="H31" s="96">
        <f>_xlfn.XMATCH(TB_Vendas[[#This Row],[Categoria]],'Cadastros Auxiliares'!$B$8:$E$8,0)</f>
        <v>3</v>
      </c>
      <c r="I31" s="69">
        <f>VLOOKUP(TB_Vendas[[#This Row],[Qtd]],'Cadastros Auxiliares'!$B$8:$E$13,Vendas!H31,TRUE)</f>
        <v>0.15</v>
      </c>
      <c r="J31" s="69" cm="1">
        <f t="array" ref="J3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31" s="69">
        <f>_xlfn.XLOOKUP(TB_Vendas[[#This Row],[Vendedor]],TB_Vendedor[Código],TB_Vendedor[Desc. Máximo])</f>
        <v>0.25</v>
      </c>
      <c r="L31" s="69">
        <f>IF(TB_Vendas[[#This Row],[Desconto 
(Diretão)]]&lt;=TB_Vendas[[#This Row],[Desconto 
(Vendedor)]],TB_Vendas[[#This Row],[Desconto 
(Diretão)]],TB_Vendas[[#This Row],[Desconto 
(Vendedor)]])</f>
        <v>0.15</v>
      </c>
      <c r="M31" s="63">
        <f>TB_Vendas[[#This Row],[Preço Unitário]]*TB_Vendas[[#This Row],[Qtd]]</f>
        <v>360</v>
      </c>
      <c r="N31" s="62" t="s">
        <v>127</v>
      </c>
    </row>
    <row r="32" spans="1:14">
      <c r="A32" s="9">
        <f>MONTH(TB_Vendas[[#This Row],[Data]])</f>
        <v>3</v>
      </c>
      <c r="B32" s="66" t="str">
        <f>PROPER(TEXT(DATE(,TB_Vendas[[#This Row],[Nº]],1),"Mmm"))</f>
        <v>Mar</v>
      </c>
      <c r="C32" s="67">
        <v>45010</v>
      </c>
      <c r="D32" s="66" t="s">
        <v>57</v>
      </c>
      <c r="E32" s="66" t="str">
        <f>_xlfn.XLOOKUP(TB_Vendas[[#This Row],[Código]],TB_Produtos[Código],TB_Produtos[Categoria])</f>
        <v>Acessórios</v>
      </c>
      <c r="F32" s="62">
        <v>3</v>
      </c>
      <c r="G32" s="68">
        <f>_xlfn.XLOOKUP(TB_Vendas[[#This Row],[Código]],TB_Produtos[Código],TB_Produtos[Preço Unitário])</f>
        <v>349.9</v>
      </c>
      <c r="H32" s="96">
        <f>_xlfn.XMATCH(TB_Vendas[[#This Row],[Categoria]],'Cadastros Auxiliares'!$B$8:$E$8,0)</f>
        <v>2</v>
      </c>
      <c r="I32" s="69">
        <f>VLOOKUP(TB_Vendas[[#This Row],[Qtd]],'Cadastros Auxiliares'!$B$8:$E$13,Vendas!H32,TRUE)</f>
        <v>0.15</v>
      </c>
      <c r="J32" s="69" cm="1">
        <f t="array" ref="J3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32" s="69">
        <f>_xlfn.XLOOKUP(TB_Vendas[[#This Row],[Vendedor]],TB_Vendedor[Código],TB_Vendedor[Desc. Máximo])</f>
        <v>0.2</v>
      </c>
      <c r="L32" s="69">
        <f>IF(TB_Vendas[[#This Row],[Desconto 
(Diretão)]]&lt;=TB_Vendas[[#This Row],[Desconto 
(Vendedor)]],TB_Vendas[[#This Row],[Desconto 
(Diretão)]],TB_Vendas[[#This Row],[Desconto 
(Vendedor)]])</f>
        <v>0.15</v>
      </c>
      <c r="M32" s="63">
        <f>TB_Vendas[[#This Row],[Preço Unitário]]*TB_Vendas[[#This Row],[Qtd]]</f>
        <v>1049.6999999999998</v>
      </c>
      <c r="N32" s="62" t="s">
        <v>126</v>
      </c>
    </row>
    <row r="33" spans="1:14">
      <c r="A33" s="9">
        <f>MONTH(TB_Vendas[[#This Row],[Data]])</f>
        <v>4</v>
      </c>
      <c r="B33" s="66" t="str">
        <f>PROPER(TEXT(DATE(,TB_Vendas[[#This Row],[Nº]],1),"Mmm"))</f>
        <v>Abr</v>
      </c>
      <c r="C33" s="67">
        <v>45018</v>
      </c>
      <c r="D33" s="66" t="s">
        <v>101</v>
      </c>
      <c r="E33" s="66" t="str">
        <f>_xlfn.XLOOKUP(TB_Vendas[[#This Row],[Código]],TB_Produtos[Código],TB_Produtos[Categoria])</f>
        <v>Vestuário</v>
      </c>
      <c r="F33" s="62">
        <v>1</v>
      </c>
      <c r="G33" s="68">
        <f>_xlfn.XLOOKUP(TB_Vendas[[#This Row],[Código]],TB_Produtos[Código],TB_Produtos[Preço Unitário])</f>
        <v>72.5</v>
      </c>
      <c r="H33" s="96">
        <f>_xlfn.XMATCH(TB_Vendas[[#This Row],[Categoria]],'Cadastros Auxiliares'!$B$8:$E$8,0)</f>
        <v>3</v>
      </c>
      <c r="I33" s="69">
        <f>VLOOKUP(TB_Vendas[[#This Row],[Qtd]],'Cadastros Auxiliares'!$B$8:$E$13,Vendas!H33,TRUE)</f>
        <v>0.1</v>
      </c>
      <c r="J33" s="69" cm="1">
        <f t="array" ref="J3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33" s="69">
        <f>_xlfn.XLOOKUP(TB_Vendas[[#This Row],[Vendedor]],TB_Vendedor[Código],TB_Vendedor[Desc. Máximo])</f>
        <v>0.1</v>
      </c>
      <c r="L33" s="69">
        <f>IF(TB_Vendas[[#This Row],[Desconto 
(Diretão)]]&lt;=TB_Vendas[[#This Row],[Desconto 
(Vendedor)]],TB_Vendas[[#This Row],[Desconto 
(Diretão)]],TB_Vendas[[#This Row],[Desconto 
(Vendedor)]])</f>
        <v>0.1</v>
      </c>
      <c r="M33" s="63">
        <f>TB_Vendas[[#This Row],[Preço Unitário]]*TB_Vendas[[#This Row],[Qtd]]</f>
        <v>72.5</v>
      </c>
      <c r="N33" s="62" t="s">
        <v>128</v>
      </c>
    </row>
    <row r="34" spans="1:14">
      <c r="A34" s="9">
        <f>MONTH(TB_Vendas[[#This Row],[Data]])</f>
        <v>4</v>
      </c>
      <c r="B34" s="66" t="str">
        <f>PROPER(TEXT(DATE(,TB_Vendas[[#This Row],[Nº]],1),"Mmm"))</f>
        <v>Abr</v>
      </c>
      <c r="C34" s="67">
        <v>45020</v>
      </c>
      <c r="D34" s="66" t="s">
        <v>55</v>
      </c>
      <c r="E34" s="66" t="str">
        <f>_xlfn.XLOOKUP(TB_Vendas[[#This Row],[Código]],TB_Produtos[Código],TB_Produtos[Categoria])</f>
        <v>Vestuário</v>
      </c>
      <c r="F34" s="62">
        <v>4</v>
      </c>
      <c r="G34" s="68">
        <f>_xlfn.XLOOKUP(TB_Vendas[[#This Row],[Código]],TB_Produtos[Código],TB_Produtos[Preço Unitário])</f>
        <v>259.89999999999998</v>
      </c>
      <c r="H34" s="96">
        <f>_xlfn.XMATCH(TB_Vendas[[#This Row],[Categoria]],'Cadastros Auxiliares'!$B$8:$E$8,0)</f>
        <v>3</v>
      </c>
      <c r="I34" s="69">
        <f>VLOOKUP(TB_Vendas[[#This Row],[Qtd]],'Cadastros Auxiliares'!$B$8:$E$13,Vendas!H34,TRUE)</f>
        <v>0.2</v>
      </c>
      <c r="J34" s="69" cm="1">
        <f t="array" ref="J3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34" s="69">
        <f>_xlfn.XLOOKUP(TB_Vendas[[#This Row],[Vendedor]],TB_Vendedor[Código],TB_Vendedor[Desc. Máximo])</f>
        <v>0.2</v>
      </c>
      <c r="L34" s="69">
        <f>IF(TB_Vendas[[#This Row],[Desconto 
(Diretão)]]&lt;=TB_Vendas[[#This Row],[Desconto 
(Vendedor)]],TB_Vendas[[#This Row],[Desconto 
(Diretão)]],TB_Vendas[[#This Row],[Desconto 
(Vendedor)]])</f>
        <v>0.2</v>
      </c>
      <c r="M34" s="63">
        <f>TB_Vendas[[#This Row],[Preço Unitário]]*TB_Vendas[[#This Row],[Qtd]]</f>
        <v>1039.5999999999999</v>
      </c>
      <c r="N34" s="62" t="s">
        <v>126</v>
      </c>
    </row>
    <row r="35" spans="1:14">
      <c r="A35" s="9">
        <f>MONTH(TB_Vendas[[#This Row],[Data]])</f>
        <v>4</v>
      </c>
      <c r="B35" s="66" t="str">
        <f>PROPER(TEXT(DATE(,TB_Vendas[[#This Row],[Nº]],1),"Mmm"))</f>
        <v>Abr</v>
      </c>
      <c r="C35" s="67">
        <v>45024</v>
      </c>
      <c r="D35" s="66" t="s">
        <v>47</v>
      </c>
      <c r="E35" s="66" t="str">
        <f>_xlfn.XLOOKUP(TB_Vendas[[#This Row],[Código]],TB_Produtos[Código],TB_Produtos[Categoria])</f>
        <v>Vestuário</v>
      </c>
      <c r="F35" s="62">
        <v>3</v>
      </c>
      <c r="G35" s="68">
        <f>_xlfn.XLOOKUP(TB_Vendas[[#This Row],[Código]],TB_Produtos[Código],TB_Produtos[Preço Unitário])</f>
        <v>25.9</v>
      </c>
      <c r="H35" s="96">
        <f>_xlfn.XMATCH(TB_Vendas[[#This Row],[Categoria]],'Cadastros Auxiliares'!$B$8:$E$8,0)</f>
        <v>3</v>
      </c>
      <c r="I35" s="69">
        <f>VLOOKUP(TB_Vendas[[#This Row],[Qtd]],'Cadastros Auxiliares'!$B$8:$E$13,Vendas!H35,TRUE)</f>
        <v>0.2</v>
      </c>
      <c r="J35" s="69" cm="1">
        <f t="array" ref="J3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35" s="69">
        <f>_xlfn.XLOOKUP(TB_Vendas[[#This Row],[Vendedor]],TB_Vendedor[Código],TB_Vendedor[Desc. Máximo])</f>
        <v>0.25</v>
      </c>
      <c r="L35" s="69">
        <f>IF(TB_Vendas[[#This Row],[Desconto 
(Diretão)]]&lt;=TB_Vendas[[#This Row],[Desconto 
(Vendedor)]],TB_Vendas[[#This Row],[Desconto 
(Diretão)]],TB_Vendas[[#This Row],[Desconto 
(Vendedor)]])</f>
        <v>0.2</v>
      </c>
      <c r="M35" s="63">
        <f>TB_Vendas[[#This Row],[Preço Unitário]]*TB_Vendas[[#This Row],[Qtd]]</f>
        <v>77.699999999999989</v>
      </c>
      <c r="N35" s="62" t="s">
        <v>127</v>
      </c>
    </row>
    <row r="36" spans="1:14">
      <c r="A36" s="9">
        <f>MONTH(TB_Vendas[[#This Row],[Data]])</f>
        <v>4</v>
      </c>
      <c r="B36" s="66" t="str">
        <f>PROPER(TEXT(DATE(,TB_Vendas[[#This Row],[Nº]],1),"Mmm"))</f>
        <v>Abr</v>
      </c>
      <c r="C36" s="67">
        <v>45027</v>
      </c>
      <c r="D36" s="66" t="s">
        <v>35</v>
      </c>
      <c r="E36" s="66" t="str">
        <f>_xlfn.XLOOKUP(TB_Vendas[[#This Row],[Código]],TB_Produtos[Código],TB_Produtos[Categoria])</f>
        <v>Acessórios</v>
      </c>
      <c r="F36" s="62">
        <v>2</v>
      </c>
      <c r="G36" s="68">
        <f>_xlfn.XLOOKUP(TB_Vendas[[#This Row],[Código]],TB_Produtos[Código],TB_Produtos[Preço Unitário])</f>
        <v>145</v>
      </c>
      <c r="H36" s="96">
        <f>_xlfn.XMATCH(TB_Vendas[[#This Row],[Categoria]],'Cadastros Auxiliares'!$B$8:$E$8,0)</f>
        <v>2</v>
      </c>
      <c r="I36" s="69">
        <f>VLOOKUP(TB_Vendas[[#This Row],[Qtd]],'Cadastros Auxiliares'!$B$8:$E$13,Vendas!H36,TRUE)</f>
        <v>0.05</v>
      </c>
      <c r="J36" s="69" cm="1">
        <f t="array" ref="J3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0.05</v>
      </c>
      <c r="K36" s="69">
        <f>_xlfn.XLOOKUP(TB_Vendas[[#This Row],[Vendedor]],TB_Vendedor[Código],TB_Vendedor[Desc. Máximo])</f>
        <v>0.2</v>
      </c>
      <c r="L36" s="69">
        <f>IF(TB_Vendas[[#This Row],[Desconto 
(Diretão)]]&lt;=TB_Vendas[[#This Row],[Desconto 
(Vendedor)]],TB_Vendas[[#This Row],[Desconto 
(Diretão)]],TB_Vendas[[#This Row],[Desconto 
(Vendedor)]])</f>
        <v>0.05</v>
      </c>
      <c r="M36" s="63">
        <f>TB_Vendas[[#This Row],[Preço Unitário]]*TB_Vendas[[#This Row],[Qtd]]</f>
        <v>290</v>
      </c>
      <c r="N36" s="62" t="s">
        <v>126</v>
      </c>
    </row>
    <row r="37" spans="1:14">
      <c r="A37" s="9">
        <f>MONTH(TB_Vendas[[#This Row],[Data]])</f>
        <v>4</v>
      </c>
      <c r="B37" s="66" t="str">
        <f>PROPER(TEXT(DATE(,TB_Vendas[[#This Row],[Nº]],1),"Mmm"))</f>
        <v>Abr</v>
      </c>
      <c r="C37" s="67">
        <v>45028</v>
      </c>
      <c r="D37" s="66" t="s">
        <v>37</v>
      </c>
      <c r="E37" s="66" t="str">
        <f>_xlfn.XLOOKUP(TB_Vendas[[#This Row],[Código]],TB_Produtos[Código],TB_Produtos[Categoria])</f>
        <v>Acessórios</v>
      </c>
      <c r="F37" s="62">
        <v>1</v>
      </c>
      <c r="G37" s="68">
        <f>_xlfn.XLOOKUP(TB_Vendas[[#This Row],[Código]],TB_Produtos[Código],TB_Produtos[Preço Unitário])</f>
        <v>39.9</v>
      </c>
      <c r="H37" s="96">
        <f>_xlfn.XMATCH(TB_Vendas[[#This Row],[Categoria]],'Cadastros Auxiliares'!$B$8:$E$8,0)</f>
        <v>2</v>
      </c>
      <c r="I37" s="69">
        <f>VLOOKUP(TB_Vendas[[#This Row],[Qtd]],'Cadastros Auxiliares'!$B$8:$E$13,Vendas!H37,TRUE)</f>
        <v>0</v>
      </c>
      <c r="J37" s="69" cm="1">
        <f t="array" ref="J3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</v>
      </c>
      <c r="K37" s="69">
        <f>_xlfn.XLOOKUP(TB_Vendas[[#This Row],[Vendedor]],TB_Vendedor[Código],TB_Vendedor[Desc. Máximo])</f>
        <v>0.25</v>
      </c>
      <c r="L37" s="69">
        <f>IF(TB_Vendas[[#This Row],[Desconto 
(Diretão)]]&lt;=TB_Vendas[[#This Row],[Desconto 
(Vendedor)]],TB_Vendas[[#This Row],[Desconto 
(Diretão)]],TB_Vendas[[#This Row],[Desconto 
(Vendedor)]])</f>
        <v>0</v>
      </c>
      <c r="M37" s="63">
        <f>TB_Vendas[[#This Row],[Preço Unitário]]*TB_Vendas[[#This Row],[Qtd]]</f>
        <v>39.9</v>
      </c>
      <c r="N37" s="62" t="s">
        <v>127</v>
      </c>
    </row>
    <row r="38" spans="1:14">
      <c r="A38" s="9">
        <f>MONTH(TB_Vendas[[#This Row],[Data]])</f>
        <v>4</v>
      </c>
      <c r="B38" s="66" t="str">
        <f>PROPER(TEXT(DATE(,TB_Vendas[[#This Row],[Nº]],1),"Mmm"))</f>
        <v>Abr</v>
      </c>
      <c r="C38" s="67">
        <v>45029</v>
      </c>
      <c r="D38" s="66" t="s">
        <v>57</v>
      </c>
      <c r="E38" s="66" t="str">
        <f>_xlfn.XLOOKUP(TB_Vendas[[#This Row],[Código]],TB_Produtos[Código],TB_Produtos[Categoria])</f>
        <v>Acessórios</v>
      </c>
      <c r="F38" s="62">
        <v>3</v>
      </c>
      <c r="G38" s="68">
        <f>_xlfn.XLOOKUP(TB_Vendas[[#This Row],[Código]],TB_Produtos[Código],TB_Produtos[Preço Unitário])</f>
        <v>349.9</v>
      </c>
      <c r="H38" s="96">
        <f>_xlfn.XMATCH(TB_Vendas[[#This Row],[Categoria]],'Cadastros Auxiliares'!$B$8:$E$8,0)</f>
        <v>2</v>
      </c>
      <c r="I38" s="69">
        <f>VLOOKUP(TB_Vendas[[#This Row],[Qtd]],'Cadastros Auxiliares'!$B$8:$E$13,Vendas!H38,TRUE)</f>
        <v>0.15</v>
      </c>
      <c r="J38" s="69" cm="1">
        <f t="array" ref="J3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38" s="69">
        <f>_xlfn.XLOOKUP(TB_Vendas[[#This Row],[Vendedor]],TB_Vendedor[Código],TB_Vendedor[Desc. Máximo])</f>
        <v>0.2</v>
      </c>
      <c r="L38" s="69">
        <f>IF(TB_Vendas[[#This Row],[Desconto 
(Diretão)]]&lt;=TB_Vendas[[#This Row],[Desconto 
(Vendedor)]],TB_Vendas[[#This Row],[Desconto 
(Diretão)]],TB_Vendas[[#This Row],[Desconto 
(Vendedor)]])</f>
        <v>0.15</v>
      </c>
      <c r="M38" s="63">
        <f>TB_Vendas[[#This Row],[Preço Unitário]]*TB_Vendas[[#This Row],[Qtd]]</f>
        <v>1049.6999999999998</v>
      </c>
      <c r="N38" s="62" t="s">
        <v>129</v>
      </c>
    </row>
    <row r="39" spans="1:14">
      <c r="A39" s="9">
        <f>MONTH(TB_Vendas[[#This Row],[Data]])</f>
        <v>4</v>
      </c>
      <c r="B39" s="66" t="str">
        <f>PROPER(TEXT(DATE(,TB_Vendas[[#This Row],[Nº]],1),"Mmm"))</f>
        <v>Abr</v>
      </c>
      <c r="C39" s="67">
        <v>45031</v>
      </c>
      <c r="D39" s="66" t="s">
        <v>118</v>
      </c>
      <c r="E39" s="66" t="str">
        <f>_xlfn.XLOOKUP(TB_Vendas[[#This Row],[Código]],TB_Produtos[Código],TB_Produtos[Categoria])</f>
        <v>Calçado</v>
      </c>
      <c r="F39" s="62">
        <v>4</v>
      </c>
      <c r="G39" s="68">
        <f>_xlfn.XLOOKUP(TB_Vendas[[#This Row],[Código]],TB_Produtos[Código],TB_Produtos[Preço Unitário])</f>
        <v>89.9</v>
      </c>
      <c r="H39" s="96">
        <f>_xlfn.XMATCH(TB_Vendas[[#This Row],[Categoria]],'Cadastros Auxiliares'!$B$8:$E$8,0)</f>
        <v>4</v>
      </c>
      <c r="I39" s="69">
        <f>VLOOKUP(TB_Vendas[[#This Row],[Qtd]],'Cadastros Auxiliares'!$B$8:$E$13,Vendas!H39,TRUE)</f>
        <v>0.15</v>
      </c>
      <c r="J39" s="69" cm="1">
        <f t="array" ref="J3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39" s="69">
        <f>_xlfn.XLOOKUP(TB_Vendas[[#This Row],[Vendedor]],TB_Vendedor[Código],TB_Vendedor[Desc. Máximo])</f>
        <v>0.2</v>
      </c>
      <c r="L39" s="69">
        <f>IF(TB_Vendas[[#This Row],[Desconto 
(Diretão)]]&lt;=TB_Vendas[[#This Row],[Desconto 
(Vendedor)]],TB_Vendas[[#This Row],[Desconto 
(Diretão)]],TB_Vendas[[#This Row],[Desconto 
(Vendedor)]])</f>
        <v>0.15</v>
      </c>
      <c r="M39" s="63">
        <f>TB_Vendas[[#This Row],[Preço Unitário]]*TB_Vendas[[#This Row],[Qtd]]</f>
        <v>359.6</v>
      </c>
      <c r="N39" s="62" t="s">
        <v>126</v>
      </c>
    </row>
    <row r="40" spans="1:14">
      <c r="A40" s="9">
        <f>MONTH(TB_Vendas[[#This Row],[Data]])</f>
        <v>4</v>
      </c>
      <c r="B40" s="66" t="str">
        <f>PROPER(TEXT(DATE(,TB_Vendas[[#This Row],[Nº]],1),"Mmm"))</f>
        <v>Abr</v>
      </c>
      <c r="C40" s="67">
        <v>45038</v>
      </c>
      <c r="D40" s="66" t="s">
        <v>115</v>
      </c>
      <c r="E40" s="66" t="str">
        <f>_xlfn.XLOOKUP(TB_Vendas[[#This Row],[Código]],TB_Produtos[Código],TB_Produtos[Categoria])</f>
        <v>Calçado</v>
      </c>
      <c r="F40" s="62">
        <v>2</v>
      </c>
      <c r="G40" s="68">
        <f>_xlfn.XLOOKUP(TB_Vendas[[#This Row],[Código]],TB_Produtos[Código],TB_Produtos[Preço Unitário])</f>
        <v>89.9</v>
      </c>
      <c r="H40" s="96">
        <f>_xlfn.XMATCH(TB_Vendas[[#This Row],[Categoria]],'Cadastros Auxiliares'!$B$8:$E$8,0)</f>
        <v>4</v>
      </c>
      <c r="I40" s="69">
        <f>VLOOKUP(TB_Vendas[[#This Row],[Qtd]],'Cadastros Auxiliares'!$B$8:$E$13,Vendas!H40,TRUE)</f>
        <v>0.1</v>
      </c>
      <c r="J40" s="69" cm="1">
        <f t="array" ref="J4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40" s="69">
        <f>_xlfn.XLOOKUP(TB_Vendas[[#This Row],[Vendedor]],TB_Vendedor[Código],TB_Vendedor[Desc. Máximo])</f>
        <v>0.2</v>
      </c>
      <c r="L40" s="69">
        <f>IF(TB_Vendas[[#This Row],[Desconto 
(Diretão)]]&lt;=TB_Vendas[[#This Row],[Desconto 
(Vendedor)]],TB_Vendas[[#This Row],[Desconto 
(Diretão)]],TB_Vendas[[#This Row],[Desconto 
(Vendedor)]])</f>
        <v>0.1</v>
      </c>
      <c r="M40" s="63">
        <f>TB_Vendas[[#This Row],[Preço Unitário]]*TB_Vendas[[#This Row],[Qtd]]</f>
        <v>179.8</v>
      </c>
      <c r="N40" s="62" t="s">
        <v>129</v>
      </c>
    </row>
    <row r="41" spans="1:14">
      <c r="A41" s="9">
        <f>MONTH(TB_Vendas[[#This Row],[Data]])</f>
        <v>4</v>
      </c>
      <c r="B41" s="66" t="str">
        <f>PROPER(TEXT(DATE(,TB_Vendas[[#This Row],[Nº]],1),"Mmm"))</f>
        <v>Abr</v>
      </c>
      <c r="C41" s="67">
        <v>45039</v>
      </c>
      <c r="D41" s="66" t="s">
        <v>33</v>
      </c>
      <c r="E41" s="66" t="str">
        <f>_xlfn.XLOOKUP(TB_Vendas[[#This Row],[Código]],TB_Produtos[Código],TB_Produtos[Categoria])</f>
        <v>Vestuário</v>
      </c>
      <c r="F41" s="62">
        <v>3</v>
      </c>
      <c r="G41" s="68">
        <f>_xlfn.XLOOKUP(TB_Vendas[[#This Row],[Código]],TB_Produtos[Código],TB_Produtos[Preço Unitário])</f>
        <v>69.900000000000006</v>
      </c>
      <c r="H41" s="96">
        <f>_xlfn.XMATCH(TB_Vendas[[#This Row],[Categoria]],'Cadastros Auxiliares'!$B$8:$E$8,0)</f>
        <v>3</v>
      </c>
      <c r="I41" s="69">
        <f>VLOOKUP(TB_Vendas[[#This Row],[Qtd]],'Cadastros Auxiliares'!$B$8:$E$13,Vendas!H41,TRUE)</f>
        <v>0.2</v>
      </c>
      <c r="J41" s="69" cm="1">
        <f t="array" ref="J4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41" s="69">
        <f>_xlfn.XLOOKUP(TB_Vendas[[#This Row],[Vendedor]],TB_Vendedor[Código],TB_Vendedor[Desc. Máximo])</f>
        <v>0.2</v>
      </c>
      <c r="L41" s="69">
        <f>IF(TB_Vendas[[#This Row],[Desconto 
(Diretão)]]&lt;=TB_Vendas[[#This Row],[Desconto 
(Vendedor)]],TB_Vendas[[#This Row],[Desconto 
(Diretão)]],TB_Vendas[[#This Row],[Desconto 
(Vendedor)]])</f>
        <v>0.2</v>
      </c>
      <c r="M41" s="63">
        <f>TB_Vendas[[#This Row],[Preço Unitário]]*TB_Vendas[[#This Row],[Qtd]]</f>
        <v>209.70000000000002</v>
      </c>
      <c r="N41" s="62" t="s">
        <v>126</v>
      </c>
    </row>
    <row r="42" spans="1:14">
      <c r="A42" s="9">
        <f>MONTH(TB_Vendas[[#This Row],[Data]])</f>
        <v>4</v>
      </c>
      <c r="B42" s="66" t="str">
        <f>PROPER(TEXT(DATE(,TB_Vendas[[#This Row],[Nº]],1),"Mmm"))</f>
        <v>Abr</v>
      </c>
      <c r="C42" s="67">
        <v>45042</v>
      </c>
      <c r="D42" s="66" t="s">
        <v>35</v>
      </c>
      <c r="E42" s="66" t="str">
        <f>_xlfn.XLOOKUP(TB_Vendas[[#This Row],[Código]],TB_Produtos[Código],TB_Produtos[Categoria])</f>
        <v>Acessórios</v>
      </c>
      <c r="F42" s="62">
        <v>1</v>
      </c>
      <c r="G42" s="68">
        <f>_xlfn.XLOOKUP(TB_Vendas[[#This Row],[Código]],TB_Produtos[Código],TB_Produtos[Preço Unitário])</f>
        <v>145</v>
      </c>
      <c r="H42" s="96">
        <f>_xlfn.XMATCH(TB_Vendas[[#This Row],[Categoria]],'Cadastros Auxiliares'!$B$8:$E$8,0)</f>
        <v>2</v>
      </c>
      <c r="I42" s="69">
        <f>VLOOKUP(TB_Vendas[[#This Row],[Qtd]],'Cadastros Auxiliares'!$B$8:$E$13,Vendas!H42,TRUE)</f>
        <v>0</v>
      </c>
      <c r="J42" s="69" cm="1">
        <f t="array" ref="J4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</v>
      </c>
      <c r="K42" s="69">
        <f>_xlfn.XLOOKUP(TB_Vendas[[#This Row],[Vendedor]],TB_Vendedor[Código],TB_Vendedor[Desc. Máximo])</f>
        <v>0.15</v>
      </c>
      <c r="L42" s="69">
        <f>IF(TB_Vendas[[#This Row],[Desconto 
(Diretão)]]&lt;=TB_Vendas[[#This Row],[Desconto 
(Vendedor)]],TB_Vendas[[#This Row],[Desconto 
(Diretão)]],TB_Vendas[[#This Row],[Desconto 
(Vendedor)]])</f>
        <v>0</v>
      </c>
      <c r="M42" s="63">
        <f>TB_Vendas[[#This Row],[Preço Unitário]]*TB_Vendas[[#This Row],[Qtd]]</f>
        <v>145</v>
      </c>
      <c r="N42" s="62" t="s">
        <v>130</v>
      </c>
    </row>
    <row r="43" spans="1:14">
      <c r="A43" s="9">
        <f>MONTH(TB_Vendas[[#This Row],[Data]])</f>
        <v>4</v>
      </c>
      <c r="B43" s="66" t="str">
        <f>PROPER(TEXT(DATE(,TB_Vendas[[#This Row],[Nº]],1),"Mmm"))</f>
        <v>Abr</v>
      </c>
      <c r="C43" s="67">
        <v>45043</v>
      </c>
      <c r="D43" s="66" t="s">
        <v>42</v>
      </c>
      <c r="E43" s="66" t="str">
        <f>_xlfn.XLOOKUP(TB_Vendas[[#This Row],[Código]],TB_Produtos[Código],TB_Produtos[Categoria])</f>
        <v>Vestuário</v>
      </c>
      <c r="F43" s="62">
        <v>4</v>
      </c>
      <c r="G43" s="68">
        <f>_xlfn.XLOOKUP(TB_Vendas[[#This Row],[Código]],TB_Produtos[Código],TB_Produtos[Preço Unitário])</f>
        <v>46.9</v>
      </c>
      <c r="H43" s="96">
        <f>_xlfn.XMATCH(TB_Vendas[[#This Row],[Categoria]],'Cadastros Auxiliares'!$B$8:$E$8,0)</f>
        <v>3</v>
      </c>
      <c r="I43" s="69">
        <f>VLOOKUP(TB_Vendas[[#This Row],[Qtd]],'Cadastros Auxiliares'!$B$8:$E$13,Vendas!H43,TRUE)</f>
        <v>0.2</v>
      </c>
      <c r="J43" s="69" cm="1">
        <f t="array" ref="J4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43" s="69">
        <f>_xlfn.XLOOKUP(TB_Vendas[[#This Row],[Vendedor]],TB_Vendedor[Código],TB_Vendedor[Desc. Máximo])</f>
        <v>0.2</v>
      </c>
      <c r="L43" s="69">
        <f>IF(TB_Vendas[[#This Row],[Desconto 
(Diretão)]]&lt;=TB_Vendas[[#This Row],[Desconto 
(Vendedor)]],TB_Vendas[[#This Row],[Desconto 
(Diretão)]],TB_Vendas[[#This Row],[Desconto 
(Vendedor)]])</f>
        <v>0.2</v>
      </c>
      <c r="M43" s="63">
        <f>TB_Vendas[[#This Row],[Preço Unitário]]*TB_Vendas[[#This Row],[Qtd]]</f>
        <v>187.6</v>
      </c>
      <c r="N43" s="62" t="s">
        <v>126</v>
      </c>
    </row>
    <row r="44" spans="1:14">
      <c r="A44" s="9">
        <f>MONTH(TB_Vendas[[#This Row],[Data]])</f>
        <v>5</v>
      </c>
      <c r="B44" s="66" t="str">
        <f>PROPER(TEXT(DATE(,TB_Vendas[[#This Row],[Nº]],1),"Mmm"))</f>
        <v>Mai</v>
      </c>
      <c r="C44" s="67">
        <v>45054</v>
      </c>
      <c r="D44" s="66" t="s">
        <v>99</v>
      </c>
      <c r="E44" s="66" t="str">
        <f>_xlfn.XLOOKUP(TB_Vendas[[#This Row],[Código]],TB_Produtos[Código],TB_Produtos[Categoria])</f>
        <v>Vestuário</v>
      </c>
      <c r="F44" s="62">
        <v>2</v>
      </c>
      <c r="G44" s="68">
        <f>_xlfn.XLOOKUP(TB_Vendas[[#This Row],[Código]],TB_Produtos[Código],TB_Produtos[Preço Unitário])</f>
        <v>72.5</v>
      </c>
      <c r="H44" s="96">
        <f>_xlfn.XMATCH(TB_Vendas[[#This Row],[Categoria]],'Cadastros Auxiliares'!$B$8:$E$8,0)</f>
        <v>3</v>
      </c>
      <c r="I44" s="69">
        <f>VLOOKUP(TB_Vendas[[#This Row],[Qtd]],'Cadastros Auxiliares'!$B$8:$E$13,Vendas!H44,TRUE)</f>
        <v>0.15</v>
      </c>
      <c r="J44" s="69" cm="1">
        <f t="array" ref="J4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44" s="69">
        <f>_xlfn.XLOOKUP(TB_Vendas[[#This Row],[Vendedor]],TB_Vendedor[Código],TB_Vendedor[Desc. Máximo])</f>
        <v>0.15</v>
      </c>
      <c r="L44" s="69">
        <f>IF(TB_Vendas[[#This Row],[Desconto 
(Diretão)]]&lt;=TB_Vendas[[#This Row],[Desconto 
(Vendedor)]],TB_Vendas[[#This Row],[Desconto 
(Diretão)]],TB_Vendas[[#This Row],[Desconto 
(Vendedor)]])</f>
        <v>0.15</v>
      </c>
      <c r="M44" s="63">
        <f>TB_Vendas[[#This Row],[Preço Unitário]]*TB_Vendas[[#This Row],[Qtd]]</f>
        <v>145</v>
      </c>
      <c r="N44" s="62" t="s">
        <v>130</v>
      </c>
    </row>
    <row r="45" spans="1:14">
      <c r="A45" s="9">
        <f>MONTH(TB_Vendas[[#This Row],[Data]])</f>
        <v>5</v>
      </c>
      <c r="B45" s="66" t="str">
        <f>PROPER(TEXT(DATE(,TB_Vendas[[#This Row],[Nº]],1),"Mmm"))</f>
        <v>Mai</v>
      </c>
      <c r="C45" s="67">
        <v>45055</v>
      </c>
      <c r="D45" s="66" t="s">
        <v>68</v>
      </c>
      <c r="E45" s="66" t="str">
        <f>_xlfn.XLOOKUP(TB_Vendas[[#This Row],[Código]],TB_Produtos[Código],TB_Produtos[Categoria])</f>
        <v>Vestuário</v>
      </c>
      <c r="F45" s="62">
        <v>3</v>
      </c>
      <c r="G45" s="68">
        <f>_xlfn.XLOOKUP(TB_Vendas[[#This Row],[Código]],TB_Produtos[Código],TB_Produtos[Preço Unitário])</f>
        <v>140</v>
      </c>
      <c r="H45" s="96">
        <f>_xlfn.XMATCH(TB_Vendas[[#This Row],[Categoria]],'Cadastros Auxiliares'!$B$8:$E$8,0)</f>
        <v>3</v>
      </c>
      <c r="I45" s="69">
        <f>VLOOKUP(TB_Vendas[[#This Row],[Qtd]],'Cadastros Auxiliares'!$B$8:$E$13,Vendas!H45,TRUE)</f>
        <v>0.2</v>
      </c>
      <c r="J45" s="69" cm="1">
        <f t="array" ref="J4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45" s="69">
        <f>_xlfn.XLOOKUP(TB_Vendas[[#This Row],[Vendedor]],TB_Vendedor[Código],TB_Vendedor[Desc. Máximo])</f>
        <v>0.2</v>
      </c>
      <c r="L45" s="69">
        <f>IF(TB_Vendas[[#This Row],[Desconto 
(Diretão)]]&lt;=TB_Vendas[[#This Row],[Desconto 
(Vendedor)]],TB_Vendas[[#This Row],[Desconto 
(Diretão)]],TB_Vendas[[#This Row],[Desconto 
(Vendedor)]])</f>
        <v>0.2</v>
      </c>
      <c r="M45" s="63">
        <f>TB_Vendas[[#This Row],[Preço Unitário]]*TB_Vendas[[#This Row],[Qtd]]</f>
        <v>420</v>
      </c>
      <c r="N45" s="62" t="s">
        <v>129</v>
      </c>
    </row>
    <row r="46" spans="1:14">
      <c r="A46" s="9">
        <f>MONTH(TB_Vendas[[#This Row],[Data]])</f>
        <v>5</v>
      </c>
      <c r="B46" s="66" t="str">
        <f>PROPER(TEXT(DATE(,TB_Vendas[[#This Row],[Nº]],1),"Mmm"))</f>
        <v>Mai</v>
      </c>
      <c r="C46" s="67">
        <v>45056</v>
      </c>
      <c r="D46" s="66" t="s">
        <v>66</v>
      </c>
      <c r="E46" s="66" t="str">
        <f>_xlfn.XLOOKUP(TB_Vendas[[#This Row],[Código]],TB_Produtos[Código],TB_Produtos[Categoria])</f>
        <v>Vestuário</v>
      </c>
      <c r="F46" s="62">
        <v>1</v>
      </c>
      <c r="G46" s="68">
        <f>_xlfn.XLOOKUP(TB_Vendas[[#This Row],[Código]],TB_Produtos[Código],TB_Produtos[Preço Unitário])</f>
        <v>91.4</v>
      </c>
      <c r="H46" s="96">
        <f>_xlfn.XMATCH(TB_Vendas[[#This Row],[Categoria]],'Cadastros Auxiliares'!$B$8:$E$8,0)</f>
        <v>3</v>
      </c>
      <c r="I46" s="69">
        <f>VLOOKUP(TB_Vendas[[#This Row],[Qtd]],'Cadastros Auxiliares'!$B$8:$E$13,Vendas!H46,TRUE)</f>
        <v>0.1</v>
      </c>
      <c r="J46" s="69" cm="1">
        <f t="array" ref="J4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46" s="69">
        <f>_xlfn.XLOOKUP(TB_Vendas[[#This Row],[Vendedor]],TB_Vendedor[Código],TB_Vendedor[Desc. Máximo])</f>
        <v>0.25</v>
      </c>
      <c r="L46" s="69">
        <f>IF(TB_Vendas[[#This Row],[Desconto 
(Diretão)]]&lt;=TB_Vendas[[#This Row],[Desconto 
(Vendedor)]],TB_Vendas[[#This Row],[Desconto 
(Diretão)]],TB_Vendas[[#This Row],[Desconto 
(Vendedor)]])</f>
        <v>0.1</v>
      </c>
      <c r="M46" s="63">
        <f>TB_Vendas[[#This Row],[Preço Unitário]]*TB_Vendas[[#This Row],[Qtd]]</f>
        <v>91.4</v>
      </c>
      <c r="N46" s="62" t="s">
        <v>127</v>
      </c>
    </row>
    <row r="47" spans="1:14">
      <c r="A47" s="9">
        <f>MONTH(TB_Vendas[[#This Row],[Data]])</f>
        <v>5</v>
      </c>
      <c r="B47" s="66" t="str">
        <f>PROPER(TEXT(DATE(,TB_Vendas[[#This Row],[Nº]],1),"Mmm"))</f>
        <v>Mai</v>
      </c>
      <c r="C47" s="67">
        <v>45057</v>
      </c>
      <c r="D47" s="66" t="s">
        <v>57</v>
      </c>
      <c r="E47" s="66" t="str">
        <f>_xlfn.XLOOKUP(TB_Vendas[[#This Row],[Código]],TB_Produtos[Código],TB_Produtos[Categoria])</f>
        <v>Acessórios</v>
      </c>
      <c r="F47" s="62">
        <v>2</v>
      </c>
      <c r="G47" s="68">
        <f>_xlfn.XLOOKUP(TB_Vendas[[#This Row],[Código]],TB_Produtos[Código],TB_Produtos[Preço Unitário])</f>
        <v>349.9</v>
      </c>
      <c r="H47" s="96">
        <f>_xlfn.XMATCH(TB_Vendas[[#This Row],[Categoria]],'Cadastros Auxiliares'!$B$8:$E$8,0)</f>
        <v>2</v>
      </c>
      <c r="I47" s="69">
        <f>VLOOKUP(TB_Vendas[[#This Row],[Qtd]],'Cadastros Auxiliares'!$B$8:$E$13,Vendas!H47,TRUE)</f>
        <v>0.05</v>
      </c>
      <c r="J47" s="69" cm="1">
        <f t="array" ref="J4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0.05</v>
      </c>
      <c r="K47" s="69">
        <f>_xlfn.XLOOKUP(TB_Vendas[[#This Row],[Vendedor]],TB_Vendedor[Código],TB_Vendedor[Desc. Máximo])</f>
        <v>0.2</v>
      </c>
      <c r="L47" s="69">
        <f>IF(TB_Vendas[[#This Row],[Desconto 
(Diretão)]]&lt;=TB_Vendas[[#This Row],[Desconto 
(Vendedor)]],TB_Vendas[[#This Row],[Desconto 
(Diretão)]],TB_Vendas[[#This Row],[Desconto 
(Vendedor)]])</f>
        <v>0.05</v>
      </c>
      <c r="M47" s="63">
        <f>TB_Vendas[[#This Row],[Preço Unitário]]*TB_Vendas[[#This Row],[Qtd]]</f>
        <v>699.8</v>
      </c>
      <c r="N47" s="62" t="s">
        <v>129</v>
      </c>
    </row>
    <row r="48" spans="1:14">
      <c r="A48" s="9">
        <f>MONTH(TB_Vendas[[#This Row],[Data]])</f>
        <v>5</v>
      </c>
      <c r="B48" s="66" t="str">
        <f>PROPER(TEXT(DATE(,TB_Vendas[[#This Row],[Nº]],1),"Mmm"))</f>
        <v>Mai</v>
      </c>
      <c r="C48" s="67">
        <v>45058</v>
      </c>
      <c r="D48" s="66" t="s">
        <v>32</v>
      </c>
      <c r="E48" s="66" t="str">
        <f>_xlfn.XLOOKUP(TB_Vendas[[#This Row],[Código]],TB_Produtos[Código],TB_Produtos[Categoria])</f>
        <v>Vestuário</v>
      </c>
      <c r="F48" s="62">
        <v>3</v>
      </c>
      <c r="G48" s="68">
        <f>_xlfn.XLOOKUP(TB_Vendas[[#This Row],[Código]],TB_Produtos[Código],TB_Produtos[Preço Unitário])</f>
        <v>65.900000000000006</v>
      </c>
      <c r="H48" s="96">
        <f>_xlfn.XMATCH(TB_Vendas[[#This Row],[Categoria]],'Cadastros Auxiliares'!$B$8:$E$8,0)</f>
        <v>3</v>
      </c>
      <c r="I48" s="69">
        <f>VLOOKUP(TB_Vendas[[#This Row],[Qtd]],'Cadastros Auxiliares'!$B$8:$E$13,Vendas!H48,TRUE)</f>
        <v>0.2</v>
      </c>
      <c r="J48" s="69" cm="1">
        <f t="array" ref="J4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48" s="69">
        <f>_xlfn.XLOOKUP(TB_Vendas[[#This Row],[Vendedor]],TB_Vendedor[Código],TB_Vendedor[Desc. Máximo])</f>
        <v>0.25</v>
      </c>
      <c r="L48" s="69">
        <f>IF(TB_Vendas[[#This Row],[Desconto 
(Diretão)]]&lt;=TB_Vendas[[#This Row],[Desconto 
(Vendedor)]],TB_Vendas[[#This Row],[Desconto 
(Diretão)]],TB_Vendas[[#This Row],[Desconto 
(Vendedor)]])</f>
        <v>0.2</v>
      </c>
      <c r="M48" s="63">
        <f>TB_Vendas[[#This Row],[Preço Unitário]]*TB_Vendas[[#This Row],[Qtd]]</f>
        <v>197.70000000000002</v>
      </c>
      <c r="N48" s="62" t="s">
        <v>127</v>
      </c>
    </row>
    <row r="49" spans="1:14">
      <c r="A49" s="9">
        <f>MONTH(TB_Vendas[[#This Row],[Data]])</f>
        <v>5</v>
      </c>
      <c r="B49" s="66" t="str">
        <f>PROPER(TEXT(DATE(,TB_Vendas[[#This Row],[Nº]],1),"Mmm"))</f>
        <v>Mai</v>
      </c>
      <c r="C49" s="67">
        <v>45061</v>
      </c>
      <c r="D49" s="66" t="s">
        <v>66</v>
      </c>
      <c r="E49" s="66" t="str">
        <f>_xlfn.XLOOKUP(TB_Vendas[[#This Row],[Código]],TB_Produtos[Código],TB_Produtos[Categoria])</f>
        <v>Vestuário</v>
      </c>
      <c r="F49" s="62">
        <v>2</v>
      </c>
      <c r="G49" s="68">
        <f>_xlfn.XLOOKUP(TB_Vendas[[#This Row],[Código]],TB_Produtos[Código],TB_Produtos[Preço Unitário])</f>
        <v>91.4</v>
      </c>
      <c r="H49" s="96">
        <f>_xlfn.XMATCH(TB_Vendas[[#This Row],[Categoria]],'Cadastros Auxiliares'!$B$8:$E$8,0)</f>
        <v>3</v>
      </c>
      <c r="I49" s="69">
        <f>VLOOKUP(TB_Vendas[[#This Row],[Qtd]],'Cadastros Auxiliares'!$B$8:$E$13,Vendas!H49,TRUE)</f>
        <v>0.15</v>
      </c>
      <c r="J49" s="69" cm="1">
        <f t="array" ref="J4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49" s="69">
        <f>_xlfn.XLOOKUP(TB_Vendas[[#This Row],[Vendedor]],TB_Vendedor[Código],TB_Vendedor[Desc. Máximo])</f>
        <v>0.2</v>
      </c>
      <c r="L49" s="69">
        <f>IF(TB_Vendas[[#This Row],[Desconto 
(Diretão)]]&lt;=TB_Vendas[[#This Row],[Desconto 
(Vendedor)]],TB_Vendas[[#This Row],[Desconto 
(Diretão)]],TB_Vendas[[#This Row],[Desconto 
(Vendedor)]])</f>
        <v>0.15</v>
      </c>
      <c r="M49" s="63">
        <f>TB_Vendas[[#This Row],[Preço Unitário]]*TB_Vendas[[#This Row],[Qtd]]</f>
        <v>182.8</v>
      </c>
      <c r="N49" s="62" t="s">
        <v>126</v>
      </c>
    </row>
    <row r="50" spans="1:14">
      <c r="A50" s="9">
        <f>MONTH(TB_Vendas[[#This Row],[Data]])</f>
        <v>5</v>
      </c>
      <c r="B50" s="66" t="str">
        <f>PROPER(TEXT(DATE(,TB_Vendas[[#This Row],[Nº]],1),"Mmm"))</f>
        <v>Mai</v>
      </c>
      <c r="C50" s="67">
        <v>45064</v>
      </c>
      <c r="D50" s="66" t="s">
        <v>36</v>
      </c>
      <c r="E50" s="66" t="str">
        <f>_xlfn.XLOOKUP(TB_Vendas[[#This Row],[Código]],TB_Produtos[Código],TB_Produtos[Categoria])</f>
        <v>Acessórios</v>
      </c>
      <c r="F50" s="62">
        <v>4</v>
      </c>
      <c r="G50" s="68">
        <f>_xlfn.XLOOKUP(TB_Vendas[[#This Row],[Código]],TB_Produtos[Código],TB_Produtos[Preço Unitário])</f>
        <v>259.89999999999998</v>
      </c>
      <c r="H50" s="96">
        <f>_xlfn.XMATCH(TB_Vendas[[#This Row],[Categoria]],'Cadastros Auxiliares'!$B$8:$E$8,0)</f>
        <v>2</v>
      </c>
      <c r="I50" s="69">
        <f>VLOOKUP(TB_Vendas[[#This Row],[Qtd]],'Cadastros Auxiliares'!$B$8:$E$13,Vendas!H50,TRUE)</f>
        <v>0.15</v>
      </c>
      <c r="J50" s="69" cm="1">
        <f t="array" ref="J5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50" s="69">
        <f>_xlfn.XLOOKUP(TB_Vendas[[#This Row],[Vendedor]],TB_Vendedor[Código],TB_Vendedor[Desc. Máximo])</f>
        <v>0.25</v>
      </c>
      <c r="L50" s="69">
        <f>IF(TB_Vendas[[#This Row],[Desconto 
(Diretão)]]&lt;=TB_Vendas[[#This Row],[Desconto 
(Vendedor)]],TB_Vendas[[#This Row],[Desconto 
(Diretão)]],TB_Vendas[[#This Row],[Desconto 
(Vendedor)]])</f>
        <v>0.15</v>
      </c>
      <c r="M50" s="63">
        <f>TB_Vendas[[#This Row],[Preço Unitário]]*TB_Vendas[[#This Row],[Qtd]]</f>
        <v>1039.5999999999999</v>
      </c>
      <c r="N50" s="62" t="s">
        <v>127</v>
      </c>
    </row>
    <row r="51" spans="1:14">
      <c r="A51" s="9">
        <f>MONTH(TB_Vendas[[#This Row],[Data]])</f>
        <v>6</v>
      </c>
      <c r="B51" s="66" t="str">
        <f>PROPER(TEXT(DATE(,TB_Vendas[[#This Row],[Nº]],1),"Mmm"))</f>
        <v>Jun</v>
      </c>
      <c r="C51" s="67">
        <v>45084</v>
      </c>
      <c r="D51" s="66" t="s">
        <v>35</v>
      </c>
      <c r="E51" s="66" t="str">
        <f>_xlfn.XLOOKUP(TB_Vendas[[#This Row],[Código]],TB_Produtos[Código],TB_Produtos[Categoria])</f>
        <v>Acessórios</v>
      </c>
      <c r="F51" s="62">
        <v>3</v>
      </c>
      <c r="G51" s="68">
        <f>_xlfn.XLOOKUP(TB_Vendas[[#This Row],[Código]],TB_Produtos[Código],TB_Produtos[Preço Unitário])</f>
        <v>145</v>
      </c>
      <c r="H51" s="96">
        <f>_xlfn.XMATCH(TB_Vendas[[#This Row],[Categoria]],'Cadastros Auxiliares'!$B$8:$E$8,0)</f>
        <v>2</v>
      </c>
      <c r="I51" s="69">
        <f>VLOOKUP(TB_Vendas[[#This Row],[Qtd]],'Cadastros Auxiliares'!$B$8:$E$13,Vendas!H51,TRUE)</f>
        <v>0.15</v>
      </c>
      <c r="J51" s="69" cm="1">
        <f t="array" ref="J5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51" s="69">
        <f>_xlfn.XLOOKUP(TB_Vendas[[#This Row],[Vendedor]],TB_Vendedor[Código],TB_Vendedor[Desc. Máximo])</f>
        <v>0.2</v>
      </c>
      <c r="L51" s="69">
        <f>IF(TB_Vendas[[#This Row],[Desconto 
(Diretão)]]&lt;=TB_Vendas[[#This Row],[Desconto 
(Vendedor)]],TB_Vendas[[#This Row],[Desconto 
(Diretão)]],TB_Vendas[[#This Row],[Desconto 
(Vendedor)]])</f>
        <v>0.15</v>
      </c>
      <c r="M51" s="63">
        <f>TB_Vendas[[#This Row],[Preço Unitário]]*TB_Vendas[[#This Row],[Qtd]]</f>
        <v>435</v>
      </c>
      <c r="N51" s="62" t="s">
        <v>126</v>
      </c>
    </row>
    <row r="52" spans="1:14">
      <c r="A52" s="9">
        <f>MONTH(TB_Vendas[[#This Row],[Data]])</f>
        <v>6</v>
      </c>
      <c r="B52" s="66" t="str">
        <f>PROPER(TEXT(DATE(,TB_Vendas[[#This Row],[Nº]],1),"Mmm"))</f>
        <v>Jun</v>
      </c>
      <c r="C52" s="67">
        <v>45084</v>
      </c>
      <c r="D52" s="66" t="s">
        <v>69</v>
      </c>
      <c r="E52" s="66" t="str">
        <f>_xlfn.XLOOKUP(TB_Vendas[[#This Row],[Código]],TB_Produtos[Código],TB_Produtos[Categoria])</f>
        <v>Vestuário</v>
      </c>
      <c r="F52" s="62">
        <v>2</v>
      </c>
      <c r="G52" s="68">
        <f>_xlfn.XLOOKUP(TB_Vendas[[#This Row],[Código]],TB_Produtos[Código],TB_Produtos[Preço Unitário])</f>
        <v>142.9</v>
      </c>
      <c r="H52" s="96">
        <f>_xlfn.XMATCH(TB_Vendas[[#This Row],[Categoria]],'Cadastros Auxiliares'!$B$8:$E$8,0)</f>
        <v>3</v>
      </c>
      <c r="I52" s="69">
        <f>VLOOKUP(TB_Vendas[[#This Row],[Qtd]],'Cadastros Auxiliares'!$B$8:$E$13,Vendas!H52,TRUE)</f>
        <v>0.15</v>
      </c>
      <c r="J52" s="69" cm="1">
        <f t="array" ref="J5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52" s="69">
        <f>_xlfn.XLOOKUP(TB_Vendas[[#This Row],[Vendedor]],TB_Vendedor[Código],TB_Vendedor[Desc. Máximo])</f>
        <v>0.1</v>
      </c>
      <c r="L52" s="69">
        <f>IF(TB_Vendas[[#This Row],[Desconto 
(Diretão)]]&lt;=TB_Vendas[[#This Row],[Desconto 
(Vendedor)]],TB_Vendas[[#This Row],[Desconto 
(Diretão)]],TB_Vendas[[#This Row],[Desconto 
(Vendedor)]])</f>
        <v>0.1</v>
      </c>
      <c r="M52" s="63">
        <f>TB_Vendas[[#This Row],[Preço Unitário]]*TB_Vendas[[#This Row],[Qtd]]</f>
        <v>285.8</v>
      </c>
      <c r="N52" s="62" t="s">
        <v>128</v>
      </c>
    </row>
    <row r="53" spans="1:14">
      <c r="A53" s="9">
        <f>MONTH(TB_Vendas[[#This Row],[Data]])</f>
        <v>6</v>
      </c>
      <c r="B53" s="66" t="str">
        <f>PROPER(TEXT(DATE(,TB_Vendas[[#This Row],[Nº]],1),"Mmm"))</f>
        <v>Jun</v>
      </c>
      <c r="C53" s="67">
        <v>45086</v>
      </c>
      <c r="D53" s="66" t="s">
        <v>122</v>
      </c>
      <c r="E53" s="66" t="str">
        <f>_xlfn.XLOOKUP(TB_Vendas[[#This Row],[Código]],TB_Produtos[Código],TB_Produtos[Categoria])</f>
        <v>Vestuário</v>
      </c>
      <c r="F53" s="62">
        <v>2</v>
      </c>
      <c r="G53" s="68">
        <f>_xlfn.XLOOKUP(TB_Vendas[[#This Row],[Código]],TB_Produtos[Código],TB_Produtos[Preço Unitário])</f>
        <v>180</v>
      </c>
      <c r="H53" s="96">
        <f>_xlfn.XMATCH(TB_Vendas[[#This Row],[Categoria]],'Cadastros Auxiliares'!$B$8:$E$8,0)</f>
        <v>3</v>
      </c>
      <c r="I53" s="69">
        <f>VLOOKUP(TB_Vendas[[#This Row],[Qtd]],'Cadastros Auxiliares'!$B$8:$E$13,Vendas!H53,TRUE)</f>
        <v>0.15</v>
      </c>
      <c r="J53" s="69" cm="1">
        <f t="array" ref="J5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53" s="69">
        <f>_xlfn.XLOOKUP(TB_Vendas[[#This Row],[Vendedor]],TB_Vendedor[Código],TB_Vendedor[Desc. Máximo])</f>
        <v>0.2</v>
      </c>
      <c r="L53" s="69">
        <f>IF(TB_Vendas[[#This Row],[Desconto 
(Diretão)]]&lt;=TB_Vendas[[#This Row],[Desconto 
(Vendedor)]],TB_Vendas[[#This Row],[Desconto 
(Diretão)]],TB_Vendas[[#This Row],[Desconto 
(Vendedor)]])</f>
        <v>0.15</v>
      </c>
      <c r="M53" s="63">
        <f>TB_Vendas[[#This Row],[Preço Unitário]]*TB_Vendas[[#This Row],[Qtd]]</f>
        <v>360</v>
      </c>
      <c r="N53" s="62" t="s">
        <v>126</v>
      </c>
    </row>
    <row r="54" spans="1:14">
      <c r="A54" s="9">
        <f>MONTH(TB_Vendas[[#This Row],[Data]])</f>
        <v>6</v>
      </c>
      <c r="B54" s="66" t="str">
        <f>PROPER(TEXT(DATE(,TB_Vendas[[#This Row],[Nº]],1),"Mmm"))</f>
        <v>Jun</v>
      </c>
      <c r="C54" s="67">
        <v>45086</v>
      </c>
      <c r="D54" s="66" t="s">
        <v>46</v>
      </c>
      <c r="E54" s="66" t="str">
        <f>_xlfn.XLOOKUP(TB_Vendas[[#This Row],[Código]],TB_Produtos[Código],TB_Produtos[Categoria])</f>
        <v>Vestuário</v>
      </c>
      <c r="F54" s="62">
        <v>2</v>
      </c>
      <c r="G54" s="68">
        <f>_xlfn.XLOOKUP(TB_Vendas[[#This Row],[Código]],TB_Produtos[Código],TB_Produtos[Preço Unitário])</f>
        <v>42.5</v>
      </c>
      <c r="H54" s="96">
        <f>_xlfn.XMATCH(TB_Vendas[[#This Row],[Categoria]],'Cadastros Auxiliares'!$B$8:$E$8,0)</f>
        <v>3</v>
      </c>
      <c r="I54" s="69">
        <f>VLOOKUP(TB_Vendas[[#This Row],[Qtd]],'Cadastros Auxiliares'!$B$8:$E$13,Vendas!H54,TRUE)</f>
        <v>0.15</v>
      </c>
      <c r="J54" s="69" cm="1">
        <f t="array" ref="J5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54" s="69">
        <f>_xlfn.XLOOKUP(TB_Vendas[[#This Row],[Vendedor]],TB_Vendedor[Código],TB_Vendedor[Desc. Máximo])</f>
        <v>0.1</v>
      </c>
      <c r="L54" s="69">
        <f>IF(TB_Vendas[[#This Row],[Desconto 
(Diretão)]]&lt;=TB_Vendas[[#This Row],[Desconto 
(Vendedor)]],TB_Vendas[[#This Row],[Desconto 
(Diretão)]],TB_Vendas[[#This Row],[Desconto 
(Vendedor)]])</f>
        <v>0.1</v>
      </c>
      <c r="M54" s="63">
        <f>TB_Vendas[[#This Row],[Preço Unitário]]*TB_Vendas[[#This Row],[Qtd]]</f>
        <v>85</v>
      </c>
      <c r="N54" s="62" t="s">
        <v>128</v>
      </c>
    </row>
    <row r="55" spans="1:14">
      <c r="A55" s="9">
        <f>MONTH(TB_Vendas[[#This Row],[Data]])</f>
        <v>6</v>
      </c>
      <c r="B55" s="66" t="str">
        <f>PROPER(TEXT(DATE(,TB_Vendas[[#This Row],[Nº]],1),"Mmm"))</f>
        <v>Jun</v>
      </c>
      <c r="C55" s="67">
        <v>45088</v>
      </c>
      <c r="D55" s="66" t="s">
        <v>32</v>
      </c>
      <c r="E55" s="66" t="str">
        <f>_xlfn.XLOOKUP(TB_Vendas[[#This Row],[Código]],TB_Produtos[Código],TB_Produtos[Categoria])</f>
        <v>Vestuário</v>
      </c>
      <c r="F55" s="62">
        <v>1</v>
      </c>
      <c r="G55" s="68">
        <f>_xlfn.XLOOKUP(TB_Vendas[[#This Row],[Código]],TB_Produtos[Código],TB_Produtos[Preço Unitário])</f>
        <v>65.900000000000006</v>
      </c>
      <c r="H55" s="96">
        <f>_xlfn.XMATCH(TB_Vendas[[#This Row],[Categoria]],'Cadastros Auxiliares'!$B$8:$E$8,0)</f>
        <v>3</v>
      </c>
      <c r="I55" s="69">
        <f>VLOOKUP(TB_Vendas[[#This Row],[Qtd]],'Cadastros Auxiliares'!$B$8:$E$13,Vendas!H55,TRUE)</f>
        <v>0.1</v>
      </c>
      <c r="J55" s="69" cm="1">
        <f t="array" ref="J5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55" s="69">
        <f>_xlfn.XLOOKUP(TB_Vendas[[#This Row],[Vendedor]],TB_Vendedor[Código],TB_Vendedor[Desc. Máximo])</f>
        <v>0.25</v>
      </c>
      <c r="L55" s="69">
        <f>IF(TB_Vendas[[#This Row],[Desconto 
(Diretão)]]&lt;=TB_Vendas[[#This Row],[Desconto 
(Vendedor)]],TB_Vendas[[#This Row],[Desconto 
(Diretão)]],TB_Vendas[[#This Row],[Desconto 
(Vendedor)]])</f>
        <v>0.1</v>
      </c>
      <c r="M55" s="63">
        <f>TB_Vendas[[#This Row],[Preço Unitário]]*TB_Vendas[[#This Row],[Qtd]]</f>
        <v>65.900000000000006</v>
      </c>
      <c r="N55" s="62" t="s">
        <v>127</v>
      </c>
    </row>
    <row r="56" spans="1:14">
      <c r="A56" s="9">
        <f>MONTH(TB_Vendas[[#This Row],[Data]])</f>
        <v>6</v>
      </c>
      <c r="B56" s="66" t="str">
        <f>PROPER(TEXT(DATE(,TB_Vendas[[#This Row],[Nº]],1),"Mmm"))</f>
        <v>Jun</v>
      </c>
      <c r="C56" s="67">
        <v>45090</v>
      </c>
      <c r="D56" s="66" t="s">
        <v>119</v>
      </c>
      <c r="E56" s="66" t="str">
        <f>_xlfn.XLOOKUP(TB_Vendas[[#This Row],[Código]],TB_Produtos[Código],TB_Produtos[Categoria])</f>
        <v>Vestuário</v>
      </c>
      <c r="F56" s="62">
        <v>1</v>
      </c>
      <c r="G56" s="68">
        <f>_xlfn.XLOOKUP(TB_Vendas[[#This Row],[Código]],TB_Produtos[Código],TB_Produtos[Preço Unitário])</f>
        <v>180</v>
      </c>
      <c r="H56" s="96">
        <f>_xlfn.XMATCH(TB_Vendas[[#This Row],[Categoria]],'Cadastros Auxiliares'!$B$8:$E$8,0)</f>
        <v>3</v>
      </c>
      <c r="I56" s="69">
        <f>VLOOKUP(TB_Vendas[[#This Row],[Qtd]],'Cadastros Auxiliares'!$B$8:$E$13,Vendas!H56,TRUE)</f>
        <v>0.1</v>
      </c>
      <c r="J56" s="69" cm="1">
        <f t="array" ref="J5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56" s="69">
        <f>_xlfn.XLOOKUP(TB_Vendas[[#This Row],[Vendedor]],TB_Vendedor[Código],TB_Vendedor[Desc. Máximo])</f>
        <v>0.1</v>
      </c>
      <c r="L56" s="69">
        <f>IF(TB_Vendas[[#This Row],[Desconto 
(Diretão)]]&lt;=TB_Vendas[[#This Row],[Desconto 
(Vendedor)]],TB_Vendas[[#This Row],[Desconto 
(Diretão)]],TB_Vendas[[#This Row],[Desconto 
(Vendedor)]])</f>
        <v>0.1</v>
      </c>
      <c r="M56" s="63">
        <f>TB_Vendas[[#This Row],[Preço Unitário]]*TB_Vendas[[#This Row],[Qtd]]</f>
        <v>180</v>
      </c>
      <c r="N56" s="62" t="s">
        <v>128</v>
      </c>
    </row>
    <row r="57" spans="1:14">
      <c r="A57" s="9">
        <f>MONTH(TB_Vendas[[#This Row],[Data]])</f>
        <v>6</v>
      </c>
      <c r="B57" s="66" t="str">
        <f>PROPER(TEXT(DATE(,TB_Vendas[[#This Row],[Nº]],1),"Mmm"))</f>
        <v>Jun</v>
      </c>
      <c r="C57" s="67">
        <v>45093</v>
      </c>
      <c r="D57" s="66" t="s">
        <v>109</v>
      </c>
      <c r="E57" s="66" t="str">
        <f>_xlfn.XLOOKUP(TB_Vendas[[#This Row],[Código]],TB_Produtos[Código],TB_Produtos[Categoria])</f>
        <v>Vestuário</v>
      </c>
      <c r="F57" s="62">
        <v>3</v>
      </c>
      <c r="G57" s="68">
        <f>_xlfn.XLOOKUP(TB_Vendas[[#This Row],[Código]],TB_Produtos[Código],TB_Produtos[Preço Unitário])</f>
        <v>32.9</v>
      </c>
      <c r="H57" s="96">
        <f>_xlfn.XMATCH(TB_Vendas[[#This Row],[Categoria]],'Cadastros Auxiliares'!$B$8:$E$8,0)</f>
        <v>3</v>
      </c>
      <c r="I57" s="69">
        <f>VLOOKUP(TB_Vendas[[#This Row],[Qtd]],'Cadastros Auxiliares'!$B$8:$E$13,Vendas!H57,TRUE)</f>
        <v>0.2</v>
      </c>
      <c r="J57" s="69" cm="1">
        <f t="array" ref="J5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57" s="69">
        <f>_xlfn.XLOOKUP(TB_Vendas[[#This Row],[Vendedor]],TB_Vendedor[Código],TB_Vendedor[Desc. Máximo])</f>
        <v>0.25</v>
      </c>
      <c r="L57" s="69">
        <f>IF(TB_Vendas[[#This Row],[Desconto 
(Diretão)]]&lt;=TB_Vendas[[#This Row],[Desconto 
(Vendedor)]],TB_Vendas[[#This Row],[Desconto 
(Diretão)]],TB_Vendas[[#This Row],[Desconto 
(Vendedor)]])</f>
        <v>0.2</v>
      </c>
      <c r="M57" s="63">
        <f>TB_Vendas[[#This Row],[Preço Unitário]]*TB_Vendas[[#This Row],[Qtd]]</f>
        <v>98.699999999999989</v>
      </c>
      <c r="N57" s="62" t="s">
        <v>127</v>
      </c>
    </row>
    <row r="58" spans="1:14">
      <c r="A58" s="9">
        <f>MONTH(TB_Vendas[[#This Row],[Data]])</f>
        <v>6</v>
      </c>
      <c r="B58" s="66" t="str">
        <f>PROPER(TEXT(DATE(,TB_Vendas[[#This Row],[Nº]],1),"Mmm"))</f>
        <v>Jun</v>
      </c>
      <c r="C58" s="67">
        <v>45093</v>
      </c>
      <c r="D58" s="66" t="s">
        <v>40</v>
      </c>
      <c r="E58" s="66" t="str">
        <f>_xlfn.XLOOKUP(TB_Vendas[[#This Row],[Código]],TB_Produtos[Código],TB_Produtos[Categoria])</f>
        <v>Vestuário</v>
      </c>
      <c r="F58" s="62">
        <v>4</v>
      </c>
      <c r="G58" s="68">
        <f>_xlfn.XLOOKUP(TB_Vendas[[#This Row],[Código]],TB_Produtos[Código],TB_Produtos[Preço Unitário])</f>
        <v>92.9</v>
      </c>
      <c r="H58" s="96">
        <f>_xlfn.XMATCH(TB_Vendas[[#This Row],[Categoria]],'Cadastros Auxiliares'!$B$8:$E$8,0)</f>
        <v>3</v>
      </c>
      <c r="I58" s="69">
        <f>VLOOKUP(TB_Vendas[[#This Row],[Qtd]],'Cadastros Auxiliares'!$B$8:$E$13,Vendas!H58,TRUE)</f>
        <v>0.2</v>
      </c>
      <c r="J58" s="69" cm="1">
        <f t="array" ref="J5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58" s="69">
        <f>_xlfn.XLOOKUP(TB_Vendas[[#This Row],[Vendedor]],TB_Vendedor[Código],TB_Vendedor[Desc. Máximo])</f>
        <v>0.2</v>
      </c>
      <c r="L58" s="69">
        <f>IF(TB_Vendas[[#This Row],[Desconto 
(Diretão)]]&lt;=TB_Vendas[[#This Row],[Desconto 
(Vendedor)]],TB_Vendas[[#This Row],[Desconto 
(Diretão)]],TB_Vendas[[#This Row],[Desconto 
(Vendedor)]])</f>
        <v>0.2</v>
      </c>
      <c r="M58" s="63">
        <f>TB_Vendas[[#This Row],[Preço Unitário]]*TB_Vendas[[#This Row],[Qtd]]</f>
        <v>371.6</v>
      </c>
      <c r="N58" s="62" t="s">
        <v>126</v>
      </c>
    </row>
    <row r="59" spans="1:14">
      <c r="A59" s="9">
        <f>MONTH(TB_Vendas[[#This Row],[Data]])</f>
        <v>6</v>
      </c>
      <c r="B59" s="66" t="str">
        <f>PROPER(TEXT(DATE(,TB_Vendas[[#This Row],[Nº]],1),"Mmm"))</f>
        <v>Jun</v>
      </c>
      <c r="C59" s="67">
        <v>45094</v>
      </c>
      <c r="D59" s="66" t="s">
        <v>64</v>
      </c>
      <c r="E59" s="66" t="str">
        <f>_xlfn.XLOOKUP(TB_Vendas[[#This Row],[Código]],TB_Produtos[Código],TB_Produtos[Categoria])</f>
        <v>Calçado</v>
      </c>
      <c r="F59" s="62">
        <v>2</v>
      </c>
      <c r="G59" s="68">
        <f>_xlfn.XLOOKUP(TB_Vendas[[#This Row],[Código]],TB_Produtos[Código],TB_Produtos[Preço Unitário])</f>
        <v>259.89999999999998</v>
      </c>
      <c r="H59" s="96">
        <f>_xlfn.XMATCH(TB_Vendas[[#This Row],[Categoria]],'Cadastros Auxiliares'!$B$8:$E$8,0)</f>
        <v>4</v>
      </c>
      <c r="I59" s="69">
        <f>VLOOKUP(TB_Vendas[[#This Row],[Qtd]],'Cadastros Auxiliares'!$B$8:$E$13,Vendas!H59,TRUE)</f>
        <v>0.1</v>
      </c>
      <c r="J59" s="69" cm="1">
        <f t="array" ref="J5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59" s="69">
        <f>_xlfn.XLOOKUP(TB_Vendas[[#This Row],[Vendedor]],TB_Vendedor[Código],TB_Vendedor[Desc. Máximo])</f>
        <v>0.1</v>
      </c>
      <c r="L59" s="69">
        <f>IF(TB_Vendas[[#This Row],[Desconto 
(Diretão)]]&lt;=TB_Vendas[[#This Row],[Desconto 
(Vendedor)]],TB_Vendas[[#This Row],[Desconto 
(Diretão)]],TB_Vendas[[#This Row],[Desconto 
(Vendedor)]])</f>
        <v>0.1</v>
      </c>
      <c r="M59" s="63">
        <f>TB_Vendas[[#This Row],[Preço Unitário]]*TB_Vendas[[#This Row],[Qtd]]</f>
        <v>519.79999999999995</v>
      </c>
      <c r="N59" s="62" t="s">
        <v>128</v>
      </c>
    </row>
    <row r="60" spans="1:14">
      <c r="A60" s="9">
        <f>MONTH(TB_Vendas[[#This Row],[Data]])</f>
        <v>6</v>
      </c>
      <c r="B60" s="66" t="str">
        <f>PROPER(TEXT(DATE(,TB_Vendas[[#This Row],[Nº]],1),"Mmm"))</f>
        <v>Jun</v>
      </c>
      <c r="C60" s="67">
        <v>45097</v>
      </c>
      <c r="D60" s="66" t="s">
        <v>55</v>
      </c>
      <c r="E60" s="66" t="str">
        <f>_xlfn.XLOOKUP(TB_Vendas[[#This Row],[Código]],TB_Produtos[Código],TB_Produtos[Categoria])</f>
        <v>Vestuário</v>
      </c>
      <c r="F60" s="62">
        <v>1</v>
      </c>
      <c r="G60" s="68">
        <f>_xlfn.XLOOKUP(TB_Vendas[[#This Row],[Código]],TB_Produtos[Código],TB_Produtos[Preço Unitário])</f>
        <v>259.89999999999998</v>
      </c>
      <c r="H60" s="96">
        <f>_xlfn.XMATCH(TB_Vendas[[#This Row],[Categoria]],'Cadastros Auxiliares'!$B$8:$E$8,0)</f>
        <v>3</v>
      </c>
      <c r="I60" s="69">
        <f>VLOOKUP(TB_Vendas[[#This Row],[Qtd]],'Cadastros Auxiliares'!$B$8:$E$13,Vendas!H60,TRUE)</f>
        <v>0.1</v>
      </c>
      <c r="J60" s="69" cm="1">
        <f t="array" ref="J6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60" s="69">
        <f>_xlfn.XLOOKUP(TB_Vendas[[#This Row],[Vendedor]],TB_Vendedor[Código],TB_Vendedor[Desc. Máximo])</f>
        <v>0.15</v>
      </c>
      <c r="L60" s="69">
        <f>IF(TB_Vendas[[#This Row],[Desconto 
(Diretão)]]&lt;=TB_Vendas[[#This Row],[Desconto 
(Vendedor)]],TB_Vendas[[#This Row],[Desconto 
(Diretão)]],TB_Vendas[[#This Row],[Desconto 
(Vendedor)]])</f>
        <v>0.1</v>
      </c>
      <c r="M60" s="63">
        <f>TB_Vendas[[#This Row],[Preço Unitário]]*TB_Vendas[[#This Row],[Qtd]]</f>
        <v>259.89999999999998</v>
      </c>
      <c r="N60" s="62" t="s">
        <v>130</v>
      </c>
    </row>
    <row r="61" spans="1:14">
      <c r="A61" s="9">
        <f>MONTH(TB_Vendas[[#This Row],[Data]])</f>
        <v>6</v>
      </c>
      <c r="B61" s="66" t="str">
        <f>PROPER(TEXT(DATE(,TB_Vendas[[#This Row],[Nº]],1),"Mmm"))</f>
        <v>Jun</v>
      </c>
      <c r="C61" s="67">
        <v>45105</v>
      </c>
      <c r="D61" s="66" t="s">
        <v>46</v>
      </c>
      <c r="E61" s="66" t="str">
        <f>_xlfn.XLOOKUP(TB_Vendas[[#This Row],[Código]],TB_Produtos[Código],TB_Produtos[Categoria])</f>
        <v>Vestuário</v>
      </c>
      <c r="F61" s="62">
        <v>5</v>
      </c>
      <c r="G61" s="68">
        <f>_xlfn.XLOOKUP(TB_Vendas[[#This Row],[Código]],TB_Produtos[Código],TB_Produtos[Preço Unitário])</f>
        <v>42.5</v>
      </c>
      <c r="H61" s="96">
        <f>_xlfn.XMATCH(TB_Vendas[[#This Row],[Categoria]],'Cadastros Auxiliares'!$B$8:$E$8,0)</f>
        <v>3</v>
      </c>
      <c r="I61" s="69">
        <f>VLOOKUP(TB_Vendas[[#This Row],[Qtd]],'Cadastros Auxiliares'!$B$8:$E$13,Vendas!H61,TRUE)</f>
        <v>0.25</v>
      </c>
      <c r="J61" s="69" cm="1">
        <f t="array" ref="J6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61" s="69">
        <f>_xlfn.XLOOKUP(TB_Vendas[[#This Row],[Vendedor]],TB_Vendedor[Código],TB_Vendedor[Desc. Máximo])</f>
        <v>0.15</v>
      </c>
      <c r="L61" s="69">
        <f>IF(TB_Vendas[[#This Row],[Desconto 
(Diretão)]]&lt;=TB_Vendas[[#This Row],[Desconto 
(Vendedor)]],TB_Vendas[[#This Row],[Desconto 
(Diretão)]],TB_Vendas[[#This Row],[Desconto 
(Vendedor)]])</f>
        <v>0.15</v>
      </c>
      <c r="M61" s="63">
        <f>TB_Vendas[[#This Row],[Preço Unitário]]*TB_Vendas[[#This Row],[Qtd]]</f>
        <v>212.5</v>
      </c>
      <c r="N61" s="62" t="s">
        <v>130</v>
      </c>
    </row>
    <row r="62" spans="1:14">
      <c r="A62" s="9">
        <f>MONTH(TB_Vendas[[#This Row],[Data]])</f>
        <v>6</v>
      </c>
      <c r="B62" s="66" t="str">
        <f>PROPER(TEXT(DATE(,TB_Vendas[[#This Row],[Nº]],1),"Mmm"))</f>
        <v>Jun</v>
      </c>
      <c r="C62" s="67">
        <v>45105</v>
      </c>
      <c r="D62" s="66" t="s">
        <v>109</v>
      </c>
      <c r="E62" s="66" t="str">
        <f>_xlfn.XLOOKUP(TB_Vendas[[#This Row],[Código]],TB_Produtos[Código],TB_Produtos[Categoria])</f>
        <v>Vestuário</v>
      </c>
      <c r="F62" s="62">
        <v>2</v>
      </c>
      <c r="G62" s="68">
        <f>_xlfn.XLOOKUP(TB_Vendas[[#This Row],[Código]],TB_Produtos[Código],TB_Produtos[Preço Unitário])</f>
        <v>32.9</v>
      </c>
      <c r="H62" s="96">
        <f>_xlfn.XMATCH(TB_Vendas[[#This Row],[Categoria]],'Cadastros Auxiliares'!$B$8:$E$8,0)</f>
        <v>3</v>
      </c>
      <c r="I62" s="69">
        <f>VLOOKUP(TB_Vendas[[#This Row],[Qtd]],'Cadastros Auxiliares'!$B$8:$E$13,Vendas!H62,TRUE)</f>
        <v>0.15</v>
      </c>
      <c r="J62" s="69" cm="1">
        <f t="array" ref="J6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62" s="69">
        <f>_xlfn.XLOOKUP(TB_Vendas[[#This Row],[Vendedor]],TB_Vendedor[Código],TB_Vendedor[Desc. Máximo])</f>
        <v>0.15</v>
      </c>
      <c r="L62" s="69">
        <f>IF(TB_Vendas[[#This Row],[Desconto 
(Diretão)]]&lt;=TB_Vendas[[#This Row],[Desconto 
(Vendedor)]],TB_Vendas[[#This Row],[Desconto 
(Diretão)]],TB_Vendas[[#This Row],[Desconto 
(Vendedor)]])</f>
        <v>0.15</v>
      </c>
      <c r="M62" s="63">
        <f>TB_Vendas[[#This Row],[Preço Unitário]]*TB_Vendas[[#This Row],[Qtd]]</f>
        <v>65.8</v>
      </c>
      <c r="N62" s="62" t="s">
        <v>130</v>
      </c>
    </row>
    <row r="63" spans="1:14">
      <c r="A63" s="9">
        <f>MONTH(TB_Vendas[[#This Row],[Data]])</f>
        <v>6</v>
      </c>
      <c r="B63" s="66" t="str">
        <f>PROPER(TEXT(DATE(,TB_Vendas[[#This Row],[Nº]],1),"Mmm"))</f>
        <v>Jun</v>
      </c>
      <c r="C63" s="67">
        <v>45106</v>
      </c>
      <c r="D63" s="66" t="s">
        <v>40</v>
      </c>
      <c r="E63" s="66" t="str">
        <f>_xlfn.XLOOKUP(TB_Vendas[[#This Row],[Código]],TB_Produtos[Código],TB_Produtos[Categoria])</f>
        <v>Vestuário</v>
      </c>
      <c r="F63" s="62">
        <v>3</v>
      </c>
      <c r="G63" s="68">
        <f>_xlfn.XLOOKUP(TB_Vendas[[#This Row],[Código]],TB_Produtos[Código],TB_Produtos[Preço Unitário])</f>
        <v>92.9</v>
      </c>
      <c r="H63" s="96">
        <f>_xlfn.XMATCH(TB_Vendas[[#This Row],[Categoria]],'Cadastros Auxiliares'!$B$8:$E$8,0)</f>
        <v>3</v>
      </c>
      <c r="I63" s="69">
        <f>VLOOKUP(TB_Vendas[[#This Row],[Qtd]],'Cadastros Auxiliares'!$B$8:$E$13,Vendas!H63,TRUE)</f>
        <v>0.2</v>
      </c>
      <c r="J63" s="69" cm="1">
        <f t="array" ref="J6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63" s="69">
        <f>_xlfn.XLOOKUP(TB_Vendas[[#This Row],[Vendedor]],TB_Vendedor[Código],TB_Vendedor[Desc. Máximo])</f>
        <v>0.2</v>
      </c>
      <c r="L63" s="69">
        <f>IF(TB_Vendas[[#This Row],[Desconto 
(Diretão)]]&lt;=TB_Vendas[[#This Row],[Desconto 
(Vendedor)]],TB_Vendas[[#This Row],[Desconto 
(Diretão)]],TB_Vendas[[#This Row],[Desconto 
(Vendedor)]])</f>
        <v>0.2</v>
      </c>
      <c r="M63" s="63">
        <f>TB_Vendas[[#This Row],[Preço Unitário]]*TB_Vendas[[#This Row],[Qtd]]</f>
        <v>278.70000000000005</v>
      </c>
      <c r="N63" s="62" t="s">
        <v>126</v>
      </c>
    </row>
    <row r="64" spans="1:14">
      <c r="A64" s="1">
        <f>MONTH(TB_Vendas[[#This Row],[Data]])</f>
        <v>6</v>
      </c>
      <c r="B64" s="66" t="str">
        <f>PROPER(TEXT(DATE(,TB_Vendas[[#This Row],[Nº]],1),"Mmm"))</f>
        <v>Jun</v>
      </c>
      <c r="C64" s="67">
        <v>45107</v>
      </c>
      <c r="D64" s="66" t="s">
        <v>47</v>
      </c>
      <c r="E64" s="66" t="str">
        <f>_xlfn.XLOOKUP(TB_Vendas[[#This Row],[Código]],TB_Produtos[Código],TB_Produtos[Categoria])</f>
        <v>Vestuário</v>
      </c>
      <c r="F64" s="62">
        <v>10</v>
      </c>
      <c r="G64" s="68">
        <f>_xlfn.XLOOKUP(TB_Vendas[[#This Row],[Código]],TB_Produtos[Código],TB_Produtos[Preço Unitário])</f>
        <v>25.9</v>
      </c>
      <c r="H64" s="96">
        <f>_xlfn.XMATCH(TB_Vendas[[#This Row],[Categoria]],'Cadastros Auxiliares'!$B$8:$E$8,0)</f>
        <v>3</v>
      </c>
      <c r="I64" s="69">
        <f>VLOOKUP(TB_Vendas[[#This Row],[Qtd]],'Cadastros Auxiliares'!$B$8:$E$13,Vendas!H64,TRUE)</f>
        <v>0.3</v>
      </c>
      <c r="J64" s="69" cm="1">
        <f t="array" ref="J6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0.3</v>
      </c>
      <c r="K64" s="69">
        <f>_xlfn.XLOOKUP(TB_Vendas[[#This Row],[Vendedor]],TB_Vendedor[Código],TB_Vendedor[Desc. Máximo])</f>
        <v>0.2</v>
      </c>
      <c r="L64" s="69">
        <f>IF(TB_Vendas[[#This Row],[Desconto 
(Diretão)]]&lt;=TB_Vendas[[#This Row],[Desconto 
(Vendedor)]],TB_Vendas[[#This Row],[Desconto 
(Diretão)]],TB_Vendas[[#This Row],[Desconto 
(Vendedor)]])</f>
        <v>0.2</v>
      </c>
      <c r="M64" s="63">
        <f>TB_Vendas[[#This Row],[Preço Unitário]]*TB_Vendas[[#This Row],[Qtd]]</f>
        <v>259</v>
      </c>
      <c r="N64" s="62" t="s">
        <v>126</v>
      </c>
    </row>
    <row r="65" spans="1:14">
      <c r="A65" s="1">
        <f>MONTH(TB_Vendas[[#This Row],[Data]])</f>
        <v>7</v>
      </c>
      <c r="B65" s="66" t="str">
        <f>PROPER(TEXT(DATE(,TB_Vendas[[#This Row],[Nº]],1),"Mmm"))</f>
        <v>Jul</v>
      </c>
      <c r="C65" s="67">
        <v>45112</v>
      </c>
      <c r="D65" s="66" t="s">
        <v>101</v>
      </c>
      <c r="E65" s="66" t="str">
        <f>_xlfn.XLOOKUP(TB_Vendas[[#This Row],[Código]],TB_Produtos[Código],TB_Produtos[Categoria])</f>
        <v>Vestuário</v>
      </c>
      <c r="F65" s="62">
        <v>1</v>
      </c>
      <c r="G65" s="68">
        <f>_xlfn.XLOOKUP(TB_Vendas[[#This Row],[Código]],TB_Produtos[Código],TB_Produtos[Preço Unitário])</f>
        <v>72.5</v>
      </c>
      <c r="H65" s="96">
        <f>_xlfn.XMATCH(TB_Vendas[[#This Row],[Categoria]],'Cadastros Auxiliares'!$B$8:$E$8,0)</f>
        <v>3</v>
      </c>
      <c r="I65" s="69">
        <f>VLOOKUP(TB_Vendas[[#This Row],[Qtd]],'Cadastros Auxiliares'!$B$8:$E$13,Vendas!H65,TRUE)</f>
        <v>0.1</v>
      </c>
      <c r="J65" s="69" cm="1">
        <f t="array" ref="J6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65" s="69">
        <f>_xlfn.XLOOKUP(TB_Vendas[[#This Row],[Vendedor]],TB_Vendedor[Código],TB_Vendedor[Desc. Máximo])</f>
        <v>0.25</v>
      </c>
      <c r="L65" s="69">
        <f>IF(TB_Vendas[[#This Row],[Desconto 
(Diretão)]]&lt;=TB_Vendas[[#This Row],[Desconto 
(Vendedor)]],TB_Vendas[[#This Row],[Desconto 
(Diretão)]],TB_Vendas[[#This Row],[Desconto 
(Vendedor)]])</f>
        <v>0.1</v>
      </c>
      <c r="M65" s="63">
        <f>TB_Vendas[[#This Row],[Preço Unitário]]*TB_Vendas[[#This Row],[Qtd]]</f>
        <v>72.5</v>
      </c>
      <c r="N65" s="62" t="s">
        <v>127</v>
      </c>
    </row>
    <row r="66" spans="1:14">
      <c r="A66" s="1">
        <f>MONTH(TB_Vendas[[#This Row],[Data]])</f>
        <v>7</v>
      </c>
      <c r="B66" s="66" t="str">
        <f>PROPER(TEXT(DATE(,TB_Vendas[[#This Row],[Nº]],1),"Mmm"))</f>
        <v>Jul</v>
      </c>
      <c r="C66" s="67">
        <v>45113</v>
      </c>
      <c r="D66" s="66" t="s">
        <v>52</v>
      </c>
      <c r="E66" s="66" t="str">
        <f>_xlfn.XLOOKUP(TB_Vendas[[#This Row],[Código]],TB_Produtos[Código],TB_Produtos[Categoria])</f>
        <v>Vestuário</v>
      </c>
      <c r="F66" s="62">
        <v>4</v>
      </c>
      <c r="G66" s="68">
        <f>_xlfn.XLOOKUP(TB_Vendas[[#This Row],[Código]],TB_Produtos[Código],TB_Produtos[Preço Unitário])</f>
        <v>302.89999999999998</v>
      </c>
      <c r="H66" s="96">
        <f>_xlfn.XMATCH(TB_Vendas[[#This Row],[Categoria]],'Cadastros Auxiliares'!$B$8:$E$8,0)</f>
        <v>3</v>
      </c>
      <c r="I66" s="69">
        <f>VLOOKUP(TB_Vendas[[#This Row],[Qtd]],'Cadastros Auxiliares'!$B$8:$E$13,Vendas!H66,TRUE)</f>
        <v>0.2</v>
      </c>
      <c r="J66" s="69" cm="1">
        <f t="array" ref="J6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66" s="69">
        <f>_xlfn.XLOOKUP(TB_Vendas[[#This Row],[Vendedor]],TB_Vendedor[Código],TB_Vendedor[Desc. Máximo])</f>
        <v>0.15</v>
      </c>
      <c r="L66" s="69">
        <f>IF(TB_Vendas[[#This Row],[Desconto 
(Diretão)]]&lt;=TB_Vendas[[#This Row],[Desconto 
(Vendedor)]],TB_Vendas[[#This Row],[Desconto 
(Diretão)]],TB_Vendas[[#This Row],[Desconto 
(Vendedor)]])</f>
        <v>0.15</v>
      </c>
      <c r="M66" s="63">
        <f>TB_Vendas[[#This Row],[Preço Unitário]]*TB_Vendas[[#This Row],[Qtd]]</f>
        <v>1211.5999999999999</v>
      </c>
      <c r="N66" s="62" t="s">
        <v>130</v>
      </c>
    </row>
    <row r="67" spans="1:14">
      <c r="A67" s="1">
        <f>MONTH(TB_Vendas[[#This Row],[Data]])</f>
        <v>7</v>
      </c>
      <c r="B67" s="66" t="str">
        <f>PROPER(TEXT(DATE(,TB_Vendas[[#This Row],[Nº]],1),"Mmm"))</f>
        <v>Jul</v>
      </c>
      <c r="C67" s="67">
        <v>45114</v>
      </c>
      <c r="D67" s="66" t="s">
        <v>106</v>
      </c>
      <c r="E67" s="66" t="str">
        <f>_xlfn.XLOOKUP(TB_Vendas[[#This Row],[Código]],TB_Produtos[Código],TB_Produtos[Categoria])</f>
        <v>Vestuário</v>
      </c>
      <c r="F67" s="62">
        <v>8</v>
      </c>
      <c r="G67" s="68">
        <f>_xlfn.XLOOKUP(TB_Vendas[[#This Row],[Código]],TB_Produtos[Código],TB_Produtos[Preço Unitário])</f>
        <v>289.89999999999998</v>
      </c>
      <c r="H67" s="96">
        <f>_xlfn.XMATCH(TB_Vendas[[#This Row],[Categoria]],'Cadastros Auxiliares'!$B$8:$E$8,0)</f>
        <v>3</v>
      </c>
      <c r="I67" s="69">
        <f>VLOOKUP(TB_Vendas[[#This Row],[Qtd]],'Cadastros Auxiliares'!$B$8:$E$13,Vendas!H67,TRUE)</f>
        <v>0.25</v>
      </c>
      <c r="J67" s="69" cm="1">
        <f t="array" ref="J6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67" s="69">
        <f>_xlfn.XLOOKUP(TB_Vendas[[#This Row],[Vendedor]],TB_Vendedor[Código],TB_Vendedor[Desc. Máximo])</f>
        <v>0.2</v>
      </c>
      <c r="L67" s="69">
        <f>IF(TB_Vendas[[#This Row],[Desconto 
(Diretão)]]&lt;=TB_Vendas[[#This Row],[Desconto 
(Vendedor)]],TB_Vendas[[#This Row],[Desconto 
(Diretão)]],TB_Vendas[[#This Row],[Desconto 
(Vendedor)]])</f>
        <v>0.2</v>
      </c>
      <c r="M67" s="63">
        <f>TB_Vendas[[#This Row],[Preço Unitário]]*TB_Vendas[[#This Row],[Qtd]]</f>
        <v>2319.1999999999998</v>
      </c>
      <c r="N67" s="62" t="s">
        <v>126</v>
      </c>
    </row>
    <row r="68" spans="1:14">
      <c r="A68" s="1">
        <f>MONTH(TB_Vendas[[#This Row],[Data]])</f>
        <v>7</v>
      </c>
      <c r="B68" s="66" t="str">
        <f>PROPER(TEXT(DATE(,TB_Vendas[[#This Row],[Nº]],1),"Mmm"))</f>
        <v>Jul</v>
      </c>
      <c r="C68" s="67">
        <v>45119</v>
      </c>
      <c r="D68" s="66" t="s">
        <v>97</v>
      </c>
      <c r="E68" s="66" t="str">
        <f>_xlfn.XLOOKUP(TB_Vendas[[#This Row],[Código]],TB_Produtos[Código],TB_Produtos[Categoria])</f>
        <v>Vestuário</v>
      </c>
      <c r="F68" s="62">
        <v>2</v>
      </c>
      <c r="G68" s="68">
        <f>_xlfn.XLOOKUP(TB_Vendas[[#This Row],[Código]],TB_Produtos[Código],TB_Produtos[Preço Unitário])</f>
        <v>54.9</v>
      </c>
      <c r="H68" s="96">
        <f>_xlfn.XMATCH(TB_Vendas[[#This Row],[Categoria]],'Cadastros Auxiliares'!$B$8:$E$8,0)</f>
        <v>3</v>
      </c>
      <c r="I68" s="69">
        <f>VLOOKUP(TB_Vendas[[#This Row],[Qtd]],'Cadastros Auxiliares'!$B$8:$E$13,Vendas!H68,TRUE)</f>
        <v>0.15</v>
      </c>
      <c r="J68" s="69" cm="1">
        <f t="array" ref="J6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68" s="69">
        <f>_xlfn.XLOOKUP(TB_Vendas[[#This Row],[Vendedor]],TB_Vendedor[Código],TB_Vendedor[Desc. Máximo])</f>
        <v>0.2</v>
      </c>
      <c r="L68" s="69">
        <f>IF(TB_Vendas[[#This Row],[Desconto 
(Diretão)]]&lt;=TB_Vendas[[#This Row],[Desconto 
(Vendedor)]],TB_Vendas[[#This Row],[Desconto 
(Diretão)]],TB_Vendas[[#This Row],[Desconto 
(Vendedor)]])</f>
        <v>0.15</v>
      </c>
      <c r="M68" s="63">
        <f>TB_Vendas[[#This Row],[Preço Unitário]]*TB_Vendas[[#This Row],[Qtd]]</f>
        <v>109.8</v>
      </c>
      <c r="N68" s="62" t="s">
        <v>126</v>
      </c>
    </row>
    <row r="69" spans="1:14">
      <c r="A69" s="1">
        <f>MONTH(TB_Vendas[[#This Row],[Data]])</f>
        <v>7</v>
      </c>
      <c r="B69" s="66" t="str">
        <f>PROPER(TEXT(DATE(,TB_Vendas[[#This Row],[Nº]],1),"Mmm"))</f>
        <v>Jul</v>
      </c>
      <c r="C69" s="67">
        <v>45120</v>
      </c>
      <c r="D69" s="66" t="s">
        <v>45</v>
      </c>
      <c r="E69" s="66" t="str">
        <f>_xlfn.XLOOKUP(TB_Vendas[[#This Row],[Código]],TB_Produtos[Código],TB_Produtos[Categoria])</f>
        <v>Vestuário</v>
      </c>
      <c r="F69" s="62">
        <v>2</v>
      </c>
      <c r="G69" s="68">
        <f>_xlfn.XLOOKUP(TB_Vendas[[#This Row],[Código]],TB_Produtos[Código],TB_Produtos[Preço Unitário])</f>
        <v>39.9</v>
      </c>
      <c r="H69" s="96">
        <f>_xlfn.XMATCH(TB_Vendas[[#This Row],[Categoria]],'Cadastros Auxiliares'!$B$8:$E$8,0)</f>
        <v>3</v>
      </c>
      <c r="I69" s="69">
        <f>VLOOKUP(TB_Vendas[[#This Row],[Qtd]],'Cadastros Auxiliares'!$B$8:$E$13,Vendas!H69,TRUE)</f>
        <v>0.15</v>
      </c>
      <c r="J69" s="69" cm="1">
        <f t="array" ref="J6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69" s="69">
        <f>_xlfn.XLOOKUP(TB_Vendas[[#This Row],[Vendedor]],TB_Vendedor[Código],TB_Vendedor[Desc. Máximo])</f>
        <v>0.15</v>
      </c>
      <c r="L69" s="69">
        <f>IF(TB_Vendas[[#This Row],[Desconto 
(Diretão)]]&lt;=TB_Vendas[[#This Row],[Desconto 
(Vendedor)]],TB_Vendas[[#This Row],[Desconto 
(Diretão)]],TB_Vendas[[#This Row],[Desconto 
(Vendedor)]])</f>
        <v>0.15</v>
      </c>
      <c r="M69" s="63">
        <f>TB_Vendas[[#This Row],[Preço Unitário]]*TB_Vendas[[#This Row],[Qtd]]</f>
        <v>79.8</v>
      </c>
      <c r="N69" s="62" t="s">
        <v>130</v>
      </c>
    </row>
    <row r="70" spans="1:14">
      <c r="A70" s="1">
        <f>MONTH(TB_Vendas[[#This Row],[Data]])</f>
        <v>7</v>
      </c>
      <c r="B70" s="66" t="str">
        <f>PROPER(TEXT(DATE(,TB_Vendas[[#This Row],[Nº]],1),"Mmm"))</f>
        <v>Jul</v>
      </c>
      <c r="C70" s="67">
        <v>45124</v>
      </c>
      <c r="D70" s="66" t="s">
        <v>98</v>
      </c>
      <c r="E70" s="66" t="str">
        <f>_xlfn.XLOOKUP(TB_Vendas[[#This Row],[Código]],TB_Produtos[Código],TB_Produtos[Categoria])</f>
        <v>Vestuário</v>
      </c>
      <c r="F70" s="62">
        <v>7</v>
      </c>
      <c r="G70" s="68">
        <f>_xlfn.XLOOKUP(TB_Vendas[[#This Row],[Código]],TB_Produtos[Código],TB_Produtos[Preço Unitário])</f>
        <v>54.9</v>
      </c>
      <c r="H70" s="96">
        <f>_xlfn.XMATCH(TB_Vendas[[#This Row],[Categoria]],'Cadastros Auxiliares'!$B$8:$E$8,0)</f>
        <v>3</v>
      </c>
      <c r="I70" s="69">
        <f>VLOOKUP(TB_Vendas[[#This Row],[Qtd]],'Cadastros Auxiliares'!$B$8:$E$13,Vendas!H70,TRUE)</f>
        <v>0.25</v>
      </c>
      <c r="J70" s="69" cm="1">
        <f t="array" ref="J7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70" s="69">
        <f>_xlfn.XLOOKUP(TB_Vendas[[#This Row],[Vendedor]],TB_Vendedor[Código],TB_Vendedor[Desc. Máximo])</f>
        <v>0.2</v>
      </c>
      <c r="L70" s="69">
        <f>IF(TB_Vendas[[#This Row],[Desconto 
(Diretão)]]&lt;=TB_Vendas[[#This Row],[Desconto 
(Vendedor)]],TB_Vendas[[#This Row],[Desconto 
(Diretão)]],TB_Vendas[[#This Row],[Desconto 
(Vendedor)]])</f>
        <v>0.2</v>
      </c>
      <c r="M70" s="63">
        <f>TB_Vendas[[#This Row],[Preço Unitário]]*TB_Vendas[[#This Row],[Qtd]]</f>
        <v>384.3</v>
      </c>
      <c r="N70" s="62" t="s">
        <v>129</v>
      </c>
    </row>
    <row r="71" spans="1:14">
      <c r="A71" s="1">
        <f>MONTH(TB_Vendas[[#This Row],[Data]])</f>
        <v>7</v>
      </c>
      <c r="B71" s="66" t="str">
        <f>PROPER(TEXT(DATE(,TB_Vendas[[#This Row],[Nº]],1),"Mmm"))</f>
        <v>Jul</v>
      </c>
      <c r="C71" s="67">
        <v>45130</v>
      </c>
      <c r="D71" s="66" t="s">
        <v>51</v>
      </c>
      <c r="E71" s="66" t="str">
        <f>_xlfn.XLOOKUP(TB_Vendas[[#This Row],[Código]],TB_Produtos[Código],TB_Produtos[Categoria])</f>
        <v>Vestuário</v>
      </c>
      <c r="F71" s="62">
        <v>4</v>
      </c>
      <c r="G71" s="68">
        <f>_xlfn.XLOOKUP(TB_Vendas[[#This Row],[Código]],TB_Produtos[Código],TB_Produtos[Preço Unitário])</f>
        <v>299.89999999999998</v>
      </c>
      <c r="H71" s="96">
        <f>_xlfn.XMATCH(TB_Vendas[[#This Row],[Categoria]],'Cadastros Auxiliares'!$B$8:$E$8,0)</f>
        <v>3</v>
      </c>
      <c r="I71" s="69">
        <f>VLOOKUP(TB_Vendas[[#This Row],[Qtd]],'Cadastros Auxiliares'!$B$8:$E$13,Vendas!H71,TRUE)</f>
        <v>0.2</v>
      </c>
      <c r="J71" s="69" cm="1">
        <f t="array" ref="J7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71" s="69">
        <f>_xlfn.XLOOKUP(TB_Vendas[[#This Row],[Vendedor]],TB_Vendedor[Código],TB_Vendedor[Desc. Máximo])</f>
        <v>0.15</v>
      </c>
      <c r="L71" s="69">
        <f>IF(TB_Vendas[[#This Row],[Desconto 
(Diretão)]]&lt;=TB_Vendas[[#This Row],[Desconto 
(Vendedor)]],TB_Vendas[[#This Row],[Desconto 
(Diretão)]],TB_Vendas[[#This Row],[Desconto 
(Vendedor)]])</f>
        <v>0.15</v>
      </c>
      <c r="M71" s="63">
        <f>TB_Vendas[[#This Row],[Preço Unitário]]*TB_Vendas[[#This Row],[Qtd]]</f>
        <v>1199.5999999999999</v>
      </c>
      <c r="N71" s="62" t="s">
        <v>130</v>
      </c>
    </row>
    <row r="72" spans="1:14">
      <c r="A72" s="1">
        <f>MONTH(TB_Vendas[[#This Row],[Data]])</f>
        <v>7</v>
      </c>
      <c r="B72" s="66" t="str">
        <f>PROPER(TEXT(DATE(,TB_Vendas[[#This Row],[Nº]],1),"Mmm"))</f>
        <v>Jul</v>
      </c>
      <c r="C72" s="67">
        <v>45133</v>
      </c>
      <c r="D72" s="66" t="s">
        <v>55</v>
      </c>
      <c r="E72" s="66" t="str">
        <f>_xlfn.XLOOKUP(TB_Vendas[[#This Row],[Código]],TB_Produtos[Código],TB_Produtos[Categoria])</f>
        <v>Vestuário</v>
      </c>
      <c r="F72" s="62">
        <v>3</v>
      </c>
      <c r="G72" s="68">
        <f>_xlfn.XLOOKUP(TB_Vendas[[#This Row],[Código]],TB_Produtos[Código],TB_Produtos[Preço Unitário])</f>
        <v>259.89999999999998</v>
      </c>
      <c r="H72" s="96">
        <f>_xlfn.XMATCH(TB_Vendas[[#This Row],[Categoria]],'Cadastros Auxiliares'!$B$8:$E$8,0)</f>
        <v>3</v>
      </c>
      <c r="I72" s="69">
        <f>VLOOKUP(TB_Vendas[[#This Row],[Qtd]],'Cadastros Auxiliares'!$B$8:$E$13,Vendas!H72,TRUE)</f>
        <v>0.2</v>
      </c>
      <c r="J72" s="69" cm="1">
        <f t="array" ref="J7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72" s="69">
        <f>_xlfn.XLOOKUP(TB_Vendas[[#This Row],[Vendedor]],TB_Vendedor[Código],TB_Vendedor[Desc. Máximo])</f>
        <v>0.2</v>
      </c>
      <c r="L72" s="69">
        <f>IF(TB_Vendas[[#This Row],[Desconto 
(Diretão)]]&lt;=TB_Vendas[[#This Row],[Desconto 
(Vendedor)]],TB_Vendas[[#This Row],[Desconto 
(Diretão)]],TB_Vendas[[#This Row],[Desconto 
(Vendedor)]])</f>
        <v>0.2</v>
      </c>
      <c r="M72" s="63">
        <f>TB_Vendas[[#This Row],[Preço Unitário]]*TB_Vendas[[#This Row],[Qtd]]</f>
        <v>779.69999999999993</v>
      </c>
      <c r="N72" s="62" t="s">
        <v>129</v>
      </c>
    </row>
    <row r="73" spans="1:14">
      <c r="A73" s="1">
        <f>MONTH(TB_Vendas[[#This Row],[Data]])</f>
        <v>7</v>
      </c>
      <c r="B73" s="66" t="str">
        <f>PROPER(TEXT(DATE(,TB_Vendas[[#This Row],[Nº]],1),"Mmm"))</f>
        <v>Jul</v>
      </c>
      <c r="C73" s="67">
        <v>45135</v>
      </c>
      <c r="D73" s="66" t="s">
        <v>101</v>
      </c>
      <c r="E73" s="66" t="str">
        <f>_xlfn.XLOOKUP(TB_Vendas[[#This Row],[Código]],TB_Produtos[Código],TB_Produtos[Categoria])</f>
        <v>Vestuário</v>
      </c>
      <c r="F73" s="62">
        <v>9</v>
      </c>
      <c r="G73" s="68">
        <f>_xlfn.XLOOKUP(TB_Vendas[[#This Row],[Código]],TB_Produtos[Código],TB_Produtos[Preço Unitário])</f>
        <v>72.5</v>
      </c>
      <c r="H73" s="96">
        <f>_xlfn.XMATCH(TB_Vendas[[#This Row],[Categoria]],'Cadastros Auxiliares'!$B$8:$E$8,0)</f>
        <v>3</v>
      </c>
      <c r="I73" s="69">
        <f>VLOOKUP(TB_Vendas[[#This Row],[Qtd]],'Cadastros Auxiliares'!$B$8:$E$13,Vendas!H73,TRUE)</f>
        <v>0.25</v>
      </c>
      <c r="J73" s="69" cm="1">
        <f t="array" ref="J7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73" s="69">
        <f>_xlfn.XLOOKUP(TB_Vendas[[#This Row],[Vendedor]],TB_Vendedor[Código],TB_Vendedor[Desc. Máximo])</f>
        <v>0.1</v>
      </c>
      <c r="L73" s="69">
        <f>IF(TB_Vendas[[#This Row],[Desconto 
(Diretão)]]&lt;=TB_Vendas[[#This Row],[Desconto 
(Vendedor)]],TB_Vendas[[#This Row],[Desconto 
(Diretão)]],TB_Vendas[[#This Row],[Desconto 
(Vendedor)]])</f>
        <v>0.1</v>
      </c>
      <c r="M73" s="63">
        <f>TB_Vendas[[#This Row],[Preço Unitário]]*TB_Vendas[[#This Row],[Qtd]]</f>
        <v>652.5</v>
      </c>
      <c r="N73" s="62" t="s">
        <v>128</v>
      </c>
    </row>
    <row r="74" spans="1:14">
      <c r="A74" s="1">
        <f>MONTH(TB_Vendas[[#This Row],[Data]])</f>
        <v>7</v>
      </c>
      <c r="B74" s="66" t="str">
        <f>PROPER(TEXT(DATE(,TB_Vendas[[#This Row],[Nº]],1),"Mmm"))</f>
        <v>Jul</v>
      </c>
      <c r="C74" s="67">
        <v>45136</v>
      </c>
      <c r="D74" s="66" t="s">
        <v>53</v>
      </c>
      <c r="E74" s="66" t="str">
        <f>_xlfn.XLOOKUP(TB_Vendas[[#This Row],[Código]],TB_Produtos[Código],TB_Produtos[Categoria])</f>
        <v>Vestuário</v>
      </c>
      <c r="F74" s="62">
        <v>4</v>
      </c>
      <c r="G74" s="68">
        <f>_xlfn.XLOOKUP(TB_Vendas[[#This Row],[Código]],TB_Produtos[Código],TB_Produtos[Preço Unitário])</f>
        <v>300</v>
      </c>
      <c r="H74" s="96">
        <f>_xlfn.XMATCH(TB_Vendas[[#This Row],[Categoria]],'Cadastros Auxiliares'!$B$8:$E$8,0)</f>
        <v>3</v>
      </c>
      <c r="I74" s="69">
        <f>VLOOKUP(TB_Vendas[[#This Row],[Qtd]],'Cadastros Auxiliares'!$B$8:$E$13,Vendas!H74,TRUE)</f>
        <v>0.2</v>
      </c>
      <c r="J74" s="69" cm="1">
        <f t="array" ref="J7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</v>
      </c>
      <c r="K74" s="69">
        <f>_xlfn.XLOOKUP(TB_Vendas[[#This Row],[Vendedor]],TB_Vendedor[Código],TB_Vendedor[Desc. Máximo])</f>
        <v>0.15</v>
      </c>
      <c r="L74" s="69">
        <f>IF(TB_Vendas[[#This Row],[Desconto 
(Diretão)]]&lt;=TB_Vendas[[#This Row],[Desconto 
(Vendedor)]],TB_Vendas[[#This Row],[Desconto 
(Diretão)]],TB_Vendas[[#This Row],[Desconto 
(Vendedor)]])</f>
        <v>0.15</v>
      </c>
      <c r="M74" s="63">
        <f>TB_Vendas[[#This Row],[Preço Unitário]]*TB_Vendas[[#This Row],[Qtd]]</f>
        <v>1200</v>
      </c>
      <c r="N74" s="62" t="s">
        <v>130</v>
      </c>
    </row>
    <row r="75" spans="1:14">
      <c r="A75" s="1">
        <f>MONTH(TB_Vendas[[#This Row],[Data]])</f>
        <v>7</v>
      </c>
      <c r="B75" s="66" t="str">
        <f>PROPER(TEXT(DATE(,TB_Vendas[[#This Row],[Nº]],1),"Mmm"))</f>
        <v>Jul</v>
      </c>
      <c r="C75" s="67">
        <v>45137</v>
      </c>
      <c r="D75" s="66" t="s">
        <v>32</v>
      </c>
      <c r="E75" s="66" t="str">
        <f>_xlfn.XLOOKUP(TB_Vendas[[#This Row],[Código]],TB_Produtos[Código],TB_Produtos[Categoria])</f>
        <v>Vestuário</v>
      </c>
      <c r="F75" s="62">
        <v>9</v>
      </c>
      <c r="G75" s="68">
        <f>_xlfn.XLOOKUP(TB_Vendas[[#This Row],[Código]],TB_Produtos[Código],TB_Produtos[Preço Unitário])</f>
        <v>65.900000000000006</v>
      </c>
      <c r="H75" s="96">
        <f>_xlfn.XMATCH(TB_Vendas[[#This Row],[Categoria]],'Cadastros Auxiliares'!$B$8:$E$8,0)</f>
        <v>3</v>
      </c>
      <c r="I75" s="69">
        <f>VLOOKUP(TB_Vendas[[#This Row],[Qtd]],'Cadastros Auxiliares'!$B$8:$E$13,Vendas!H75,TRUE)</f>
        <v>0.25</v>
      </c>
      <c r="J75" s="69" cm="1">
        <f t="array" ref="J7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75" s="69">
        <f>_xlfn.XLOOKUP(TB_Vendas[[#This Row],[Vendedor]],TB_Vendedor[Código],TB_Vendedor[Desc. Máximo])</f>
        <v>0.15</v>
      </c>
      <c r="L75" s="69">
        <f>IF(TB_Vendas[[#This Row],[Desconto 
(Diretão)]]&lt;=TB_Vendas[[#This Row],[Desconto 
(Vendedor)]],TB_Vendas[[#This Row],[Desconto 
(Diretão)]],TB_Vendas[[#This Row],[Desconto 
(Vendedor)]])</f>
        <v>0.15</v>
      </c>
      <c r="M75" s="63">
        <f>TB_Vendas[[#This Row],[Preço Unitário]]*TB_Vendas[[#This Row],[Qtd]]</f>
        <v>593.1</v>
      </c>
      <c r="N75" s="62" t="s">
        <v>130</v>
      </c>
    </row>
    <row r="76" spans="1:14">
      <c r="A76" s="1">
        <f>MONTH(TB_Vendas[[#This Row],[Data]])</f>
        <v>8</v>
      </c>
      <c r="B76" s="66" t="str">
        <f>PROPER(TEXT(DATE(,TB_Vendas[[#This Row],[Nº]],1),"Mmm"))</f>
        <v>Ago</v>
      </c>
      <c r="C76" s="67">
        <v>45143</v>
      </c>
      <c r="D76" s="66" t="s">
        <v>40</v>
      </c>
      <c r="E76" s="66" t="str">
        <f>_xlfn.XLOOKUP(TB_Vendas[[#This Row],[Código]],TB_Produtos[Código],TB_Produtos[Categoria])</f>
        <v>Vestuário</v>
      </c>
      <c r="F76" s="62">
        <v>10</v>
      </c>
      <c r="G76" s="68">
        <f>_xlfn.XLOOKUP(TB_Vendas[[#This Row],[Código]],TB_Produtos[Código],TB_Produtos[Preço Unitário])</f>
        <v>92.9</v>
      </c>
      <c r="H76" s="96">
        <f>_xlfn.XMATCH(TB_Vendas[[#This Row],[Categoria]],'Cadastros Auxiliares'!$B$8:$E$8,0)</f>
        <v>3</v>
      </c>
      <c r="I76" s="69">
        <f>VLOOKUP(TB_Vendas[[#This Row],[Qtd]],'Cadastros Auxiliares'!$B$8:$E$13,Vendas!H76,TRUE)</f>
        <v>0.3</v>
      </c>
      <c r="J76" s="69" cm="1">
        <f t="array" ref="J7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0.3</v>
      </c>
      <c r="K76" s="69">
        <f>_xlfn.XLOOKUP(TB_Vendas[[#This Row],[Vendedor]],TB_Vendedor[Código],TB_Vendedor[Desc. Máximo])</f>
        <v>0.15</v>
      </c>
      <c r="L76" s="69">
        <f>IF(TB_Vendas[[#This Row],[Desconto 
(Diretão)]]&lt;=TB_Vendas[[#This Row],[Desconto 
(Vendedor)]],TB_Vendas[[#This Row],[Desconto 
(Diretão)]],TB_Vendas[[#This Row],[Desconto 
(Vendedor)]])</f>
        <v>0.15</v>
      </c>
      <c r="M76" s="63">
        <f>TB_Vendas[[#This Row],[Preço Unitário]]*TB_Vendas[[#This Row],[Qtd]]</f>
        <v>929</v>
      </c>
      <c r="N76" s="62" t="s">
        <v>130</v>
      </c>
    </row>
    <row r="77" spans="1:14">
      <c r="A77" s="1">
        <f>MONTH(TB_Vendas[[#This Row],[Data]])</f>
        <v>8</v>
      </c>
      <c r="B77" s="66" t="str">
        <f>PROPER(TEXT(DATE(,TB_Vendas[[#This Row],[Nº]],1),"Mmm"))</f>
        <v>Ago</v>
      </c>
      <c r="C77" s="67">
        <v>45144</v>
      </c>
      <c r="D77" s="66" t="s">
        <v>118</v>
      </c>
      <c r="E77" s="66" t="str">
        <f>_xlfn.XLOOKUP(TB_Vendas[[#This Row],[Código]],TB_Produtos[Código],TB_Produtos[Categoria])</f>
        <v>Calçado</v>
      </c>
      <c r="F77" s="62">
        <v>1</v>
      </c>
      <c r="G77" s="68">
        <f>_xlfn.XLOOKUP(TB_Vendas[[#This Row],[Código]],TB_Produtos[Código],TB_Produtos[Preço Unitário])</f>
        <v>89.9</v>
      </c>
      <c r="H77" s="96">
        <f>_xlfn.XMATCH(TB_Vendas[[#This Row],[Categoria]],'Cadastros Auxiliares'!$B$8:$E$8,0)</f>
        <v>4</v>
      </c>
      <c r="I77" s="69">
        <f>VLOOKUP(TB_Vendas[[#This Row],[Qtd]],'Cadastros Auxiliares'!$B$8:$E$13,Vendas!H77,TRUE)</f>
        <v>0</v>
      </c>
      <c r="J77" s="69" cm="1">
        <f t="array" ref="J77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</v>
      </c>
      <c r="K77" s="69">
        <f>_xlfn.XLOOKUP(TB_Vendas[[#This Row],[Vendedor]],TB_Vendedor[Código],TB_Vendedor[Desc. Máximo])</f>
        <v>0.1</v>
      </c>
      <c r="L77" s="69">
        <f>IF(TB_Vendas[[#This Row],[Desconto 
(Diretão)]]&lt;=TB_Vendas[[#This Row],[Desconto 
(Vendedor)]],TB_Vendas[[#This Row],[Desconto 
(Diretão)]],TB_Vendas[[#This Row],[Desconto 
(Vendedor)]])</f>
        <v>0</v>
      </c>
      <c r="M77" s="63">
        <f>TB_Vendas[[#This Row],[Preço Unitário]]*TB_Vendas[[#This Row],[Qtd]]</f>
        <v>89.9</v>
      </c>
      <c r="N77" s="62" t="s">
        <v>128</v>
      </c>
    </row>
    <row r="78" spans="1:14">
      <c r="A78" s="1">
        <f>MONTH(TB_Vendas[[#This Row],[Data]])</f>
        <v>8</v>
      </c>
      <c r="B78" s="66" t="str">
        <f>PROPER(TEXT(DATE(,TB_Vendas[[#This Row],[Nº]],1),"Mmm"))</f>
        <v>Ago</v>
      </c>
      <c r="C78" s="67">
        <v>45145</v>
      </c>
      <c r="D78" s="66" t="s">
        <v>111</v>
      </c>
      <c r="E78" s="66" t="str">
        <f>_xlfn.XLOOKUP(TB_Vendas[[#This Row],[Código]],TB_Produtos[Código],TB_Produtos[Categoria])</f>
        <v>Vestuário</v>
      </c>
      <c r="F78" s="62">
        <v>2</v>
      </c>
      <c r="G78" s="68">
        <f>_xlfn.XLOOKUP(TB_Vendas[[#This Row],[Código]],TB_Produtos[Código],TB_Produtos[Preço Unitário])</f>
        <v>49.9</v>
      </c>
      <c r="H78" s="96">
        <f>_xlfn.XMATCH(TB_Vendas[[#This Row],[Categoria]],'Cadastros Auxiliares'!$B$8:$E$8,0)</f>
        <v>3</v>
      </c>
      <c r="I78" s="69">
        <f>VLOOKUP(TB_Vendas[[#This Row],[Qtd]],'Cadastros Auxiliares'!$B$8:$E$13,Vendas!H78,TRUE)</f>
        <v>0.15</v>
      </c>
      <c r="J78" s="69" cm="1">
        <f t="array" ref="J78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78" s="69">
        <f>_xlfn.XLOOKUP(TB_Vendas[[#This Row],[Vendedor]],TB_Vendedor[Código],TB_Vendedor[Desc. Máximo])</f>
        <v>0.1</v>
      </c>
      <c r="L78" s="69">
        <f>IF(TB_Vendas[[#This Row],[Desconto 
(Diretão)]]&lt;=TB_Vendas[[#This Row],[Desconto 
(Vendedor)]],TB_Vendas[[#This Row],[Desconto 
(Diretão)]],TB_Vendas[[#This Row],[Desconto 
(Vendedor)]])</f>
        <v>0.1</v>
      </c>
      <c r="M78" s="63">
        <f>TB_Vendas[[#This Row],[Preço Unitário]]*TB_Vendas[[#This Row],[Qtd]]</f>
        <v>99.8</v>
      </c>
      <c r="N78" s="62" t="s">
        <v>128</v>
      </c>
    </row>
    <row r="79" spans="1:14">
      <c r="A79" s="1">
        <f>MONTH(TB_Vendas[[#This Row],[Data]])</f>
        <v>8</v>
      </c>
      <c r="B79" s="66" t="str">
        <f>PROPER(TEXT(DATE(,TB_Vendas[[#This Row],[Nº]],1),"Mmm"))</f>
        <v>Ago</v>
      </c>
      <c r="C79" s="67">
        <v>45146</v>
      </c>
      <c r="D79" s="66" t="s">
        <v>96</v>
      </c>
      <c r="E79" s="66" t="str">
        <f>_xlfn.XLOOKUP(TB_Vendas[[#This Row],[Código]],TB_Produtos[Código],TB_Produtos[Categoria])</f>
        <v>Vestuário</v>
      </c>
      <c r="F79" s="62">
        <v>8</v>
      </c>
      <c r="G79" s="68">
        <f>_xlfn.XLOOKUP(TB_Vendas[[#This Row],[Código]],TB_Produtos[Código],TB_Produtos[Preço Unitário])</f>
        <v>70</v>
      </c>
      <c r="H79" s="96">
        <f>_xlfn.XMATCH(TB_Vendas[[#This Row],[Categoria]],'Cadastros Auxiliares'!$B$8:$E$8,0)</f>
        <v>3</v>
      </c>
      <c r="I79" s="69">
        <f>VLOOKUP(TB_Vendas[[#This Row],[Qtd]],'Cadastros Auxiliares'!$B$8:$E$13,Vendas!H79,TRUE)</f>
        <v>0.25</v>
      </c>
      <c r="J79" s="69" cm="1">
        <f t="array" ref="J79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79" s="69">
        <f>_xlfn.XLOOKUP(TB_Vendas[[#This Row],[Vendedor]],TB_Vendedor[Código],TB_Vendedor[Desc. Máximo])</f>
        <v>0.25</v>
      </c>
      <c r="L79" s="69">
        <f>IF(TB_Vendas[[#This Row],[Desconto 
(Diretão)]]&lt;=TB_Vendas[[#This Row],[Desconto 
(Vendedor)]],TB_Vendas[[#This Row],[Desconto 
(Diretão)]],TB_Vendas[[#This Row],[Desconto 
(Vendedor)]])</f>
        <v>0.25</v>
      </c>
      <c r="M79" s="63">
        <f>TB_Vendas[[#This Row],[Preço Unitário]]*TB_Vendas[[#This Row],[Qtd]]</f>
        <v>560</v>
      </c>
      <c r="N79" s="62" t="s">
        <v>127</v>
      </c>
    </row>
    <row r="80" spans="1:14">
      <c r="A80" s="1">
        <f>MONTH(TB_Vendas[[#This Row],[Data]])</f>
        <v>8</v>
      </c>
      <c r="B80" s="66" t="str">
        <f>PROPER(TEXT(DATE(,TB_Vendas[[#This Row],[Nº]],1),"Mmm"))</f>
        <v>Ago</v>
      </c>
      <c r="C80" s="67">
        <v>45147</v>
      </c>
      <c r="D80" s="66" t="s">
        <v>42</v>
      </c>
      <c r="E80" s="66" t="str">
        <f>_xlfn.XLOOKUP(TB_Vendas[[#This Row],[Código]],TB_Produtos[Código],TB_Produtos[Categoria])</f>
        <v>Vestuário</v>
      </c>
      <c r="F80" s="62">
        <v>5</v>
      </c>
      <c r="G80" s="68">
        <f>_xlfn.XLOOKUP(TB_Vendas[[#This Row],[Código]],TB_Produtos[Código],TB_Produtos[Preço Unitário])</f>
        <v>46.9</v>
      </c>
      <c r="H80" s="96">
        <f>_xlfn.XMATCH(TB_Vendas[[#This Row],[Categoria]],'Cadastros Auxiliares'!$B$8:$E$8,0)</f>
        <v>3</v>
      </c>
      <c r="I80" s="69">
        <f>VLOOKUP(TB_Vendas[[#This Row],[Qtd]],'Cadastros Auxiliares'!$B$8:$E$13,Vendas!H80,TRUE)</f>
        <v>0.25</v>
      </c>
      <c r="J80" s="69" cm="1">
        <f t="array" ref="J80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80" s="69">
        <f>_xlfn.XLOOKUP(TB_Vendas[[#This Row],[Vendedor]],TB_Vendedor[Código],TB_Vendedor[Desc. Máximo])</f>
        <v>0.1</v>
      </c>
      <c r="L80" s="69">
        <f>IF(TB_Vendas[[#This Row],[Desconto 
(Diretão)]]&lt;=TB_Vendas[[#This Row],[Desconto 
(Vendedor)]],TB_Vendas[[#This Row],[Desconto 
(Diretão)]],TB_Vendas[[#This Row],[Desconto 
(Vendedor)]])</f>
        <v>0.1</v>
      </c>
      <c r="M80" s="63">
        <f>TB_Vendas[[#This Row],[Preço Unitário]]*TB_Vendas[[#This Row],[Qtd]]</f>
        <v>234.5</v>
      </c>
      <c r="N80" s="62" t="s">
        <v>128</v>
      </c>
    </row>
    <row r="81" spans="1:14">
      <c r="A81" s="1">
        <f>MONTH(TB_Vendas[[#This Row],[Data]])</f>
        <v>8</v>
      </c>
      <c r="B81" s="66" t="str">
        <f>PROPER(TEXT(DATE(,TB_Vendas[[#This Row],[Nº]],1),"Mmm"))</f>
        <v>Ago</v>
      </c>
      <c r="C81" s="67">
        <v>45148</v>
      </c>
      <c r="D81" s="66" t="s">
        <v>105</v>
      </c>
      <c r="E81" s="66" t="str">
        <f>_xlfn.XLOOKUP(TB_Vendas[[#This Row],[Código]],TB_Produtos[Código],TB_Produtos[Categoria])</f>
        <v>Vestuário</v>
      </c>
      <c r="F81" s="62">
        <v>10</v>
      </c>
      <c r="G81" s="68">
        <f>_xlfn.XLOOKUP(TB_Vendas[[#This Row],[Código]],TB_Produtos[Código],TB_Produtos[Preço Unitário])</f>
        <v>289.89999999999998</v>
      </c>
      <c r="H81" s="96">
        <f>_xlfn.XMATCH(TB_Vendas[[#This Row],[Categoria]],'Cadastros Auxiliares'!$B$8:$E$8,0)</f>
        <v>3</v>
      </c>
      <c r="I81" s="69">
        <f>VLOOKUP(TB_Vendas[[#This Row],[Qtd]],'Cadastros Auxiliares'!$B$8:$E$13,Vendas!H81,TRUE)</f>
        <v>0.3</v>
      </c>
      <c r="J81" s="69" cm="1">
        <f t="array" ref="J81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0.3</v>
      </c>
      <c r="K81" s="69">
        <f>_xlfn.XLOOKUP(TB_Vendas[[#This Row],[Vendedor]],TB_Vendedor[Código],TB_Vendedor[Desc. Máximo])</f>
        <v>0.25</v>
      </c>
      <c r="L81" s="69">
        <f>IF(TB_Vendas[[#This Row],[Desconto 
(Diretão)]]&lt;=TB_Vendas[[#This Row],[Desconto 
(Vendedor)]],TB_Vendas[[#This Row],[Desconto 
(Diretão)]],TB_Vendas[[#This Row],[Desconto 
(Vendedor)]])</f>
        <v>0.25</v>
      </c>
      <c r="M81" s="63">
        <f>TB_Vendas[[#This Row],[Preço Unitário]]*TB_Vendas[[#This Row],[Qtd]]</f>
        <v>2899</v>
      </c>
      <c r="N81" s="62" t="s">
        <v>127</v>
      </c>
    </row>
    <row r="82" spans="1:14">
      <c r="A82" s="1">
        <f>MONTH(TB_Vendas[[#This Row],[Data]])</f>
        <v>8</v>
      </c>
      <c r="B82" s="66" t="str">
        <f>PROPER(TEXT(DATE(,TB_Vendas[[#This Row],[Nº]],1),"Mmm"))</f>
        <v>Ago</v>
      </c>
      <c r="C82" s="67">
        <v>45149</v>
      </c>
      <c r="D82" s="66" t="s">
        <v>46</v>
      </c>
      <c r="E82" s="66" t="str">
        <f>_xlfn.XLOOKUP(TB_Vendas[[#This Row],[Código]],TB_Produtos[Código],TB_Produtos[Categoria])</f>
        <v>Vestuário</v>
      </c>
      <c r="F82" s="62">
        <v>1</v>
      </c>
      <c r="G82" s="68">
        <f>_xlfn.XLOOKUP(TB_Vendas[[#This Row],[Código]],TB_Produtos[Código],TB_Produtos[Preço Unitário])</f>
        <v>42.5</v>
      </c>
      <c r="H82" s="96">
        <f>_xlfn.XMATCH(TB_Vendas[[#This Row],[Categoria]],'Cadastros Auxiliares'!$B$8:$E$8,0)</f>
        <v>3</v>
      </c>
      <c r="I82" s="69">
        <f>VLOOKUP(TB_Vendas[[#This Row],[Qtd]],'Cadastros Auxiliares'!$B$8:$E$13,Vendas!H82,TRUE)</f>
        <v>0.1</v>
      </c>
      <c r="J82" s="69" cm="1">
        <f t="array" ref="J82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82" s="69">
        <f>_xlfn.XLOOKUP(TB_Vendas[[#This Row],[Vendedor]],TB_Vendedor[Código],TB_Vendedor[Desc. Máximo])</f>
        <v>0.1</v>
      </c>
      <c r="L82" s="69">
        <f>IF(TB_Vendas[[#This Row],[Desconto 
(Diretão)]]&lt;=TB_Vendas[[#This Row],[Desconto 
(Vendedor)]],TB_Vendas[[#This Row],[Desconto 
(Diretão)]],TB_Vendas[[#This Row],[Desconto 
(Vendedor)]])</f>
        <v>0.1</v>
      </c>
      <c r="M82" s="63">
        <f>TB_Vendas[[#This Row],[Preço Unitário]]*TB_Vendas[[#This Row],[Qtd]]</f>
        <v>42.5</v>
      </c>
      <c r="N82" s="62" t="s">
        <v>128</v>
      </c>
    </row>
    <row r="83" spans="1:14">
      <c r="A83" s="1">
        <f>MONTH(TB_Vendas[[#This Row],[Data]])</f>
        <v>8</v>
      </c>
      <c r="B83" s="66" t="str">
        <f>PROPER(TEXT(DATE(,TB_Vendas[[#This Row],[Nº]],1),"Mmm"))</f>
        <v>Ago</v>
      </c>
      <c r="C83" s="67">
        <v>45150</v>
      </c>
      <c r="D83" s="66" t="s">
        <v>115</v>
      </c>
      <c r="E83" s="66" t="str">
        <f>_xlfn.XLOOKUP(TB_Vendas[[#This Row],[Código]],TB_Produtos[Código],TB_Produtos[Categoria])</f>
        <v>Calçado</v>
      </c>
      <c r="F83" s="62">
        <v>2</v>
      </c>
      <c r="G83" s="68">
        <f>_xlfn.XLOOKUP(TB_Vendas[[#This Row],[Código]],TB_Produtos[Código],TB_Produtos[Preço Unitário])</f>
        <v>89.9</v>
      </c>
      <c r="H83" s="96">
        <f>_xlfn.XMATCH(TB_Vendas[[#This Row],[Categoria]],'Cadastros Auxiliares'!$B$8:$E$8,0)</f>
        <v>4</v>
      </c>
      <c r="I83" s="69">
        <f>VLOOKUP(TB_Vendas[[#This Row],[Qtd]],'Cadastros Auxiliares'!$B$8:$E$13,Vendas!H83,TRUE)</f>
        <v>0.1</v>
      </c>
      <c r="J83" s="69" cm="1">
        <f t="array" ref="J83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</v>
      </c>
      <c r="K83" s="69">
        <f>_xlfn.XLOOKUP(TB_Vendas[[#This Row],[Vendedor]],TB_Vendedor[Código],TB_Vendedor[Desc. Máximo])</f>
        <v>0.25</v>
      </c>
      <c r="L83" s="69">
        <f>IF(TB_Vendas[[#This Row],[Desconto 
(Diretão)]]&lt;=TB_Vendas[[#This Row],[Desconto 
(Vendedor)]],TB_Vendas[[#This Row],[Desconto 
(Diretão)]],TB_Vendas[[#This Row],[Desconto 
(Vendedor)]])</f>
        <v>0.1</v>
      </c>
      <c r="M83" s="63">
        <f>TB_Vendas[[#This Row],[Preço Unitário]]*TB_Vendas[[#This Row],[Qtd]]</f>
        <v>179.8</v>
      </c>
      <c r="N83" s="62" t="s">
        <v>127</v>
      </c>
    </row>
    <row r="84" spans="1:14">
      <c r="A84" s="1">
        <f>MONTH(TB_Vendas[[#This Row],[Data]])</f>
        <v>8</v>
      </c>
      <c r="B84" s="66" t="str">
        <f>PROPER(TEXT(DATE(,TB_Vendas[[#This Row],[Nº]],1),"Mmm"))</f>
        <v>Ago</v>
      </c>
      <c r="C84" s="67">
        <v>45151</v>
      </c>
      <c r="D84" s="66" t="s">
        <v>60</v>
      </c>
      <c r="E84" s="66" t="str">
        <f>_xlfn.XLOOKUP(TB_Vendas[[#This Row],[Código]],TB_Produtos[Código],TB_Produtos[Categoria])</f>
        <v>Calçado</v>
      </c>
      <c r="F84" s="62">
        <v>3</v>
      </c>
      <c r="G84" s="68">
        <f>_xlfn.XLOOKUP(TB_Vendas[[#This Row],[Código]],TB_Produtos[Código],TB_Produtos[Preço Unitário])</f>
        <v>255</v>
      </c>
      <c r="H84" s="96">
        <f>_xlfn.XMATCH(TB_Vendas[[#This Row],[Categoria]],'Cadastros Auxiliares'!$B$8:$E$8,0)</f>
        <v>4</v>
      </c>
      <c r="I84" s="69">
        <f>VLOOKUP(TB_Vendas[[#This Row],[Qtd]],'Cadastros Auxiliares'!$B$8:$E$13,Vendas!H84,TRUE)</f>
        <v>0.15</v>
      </c>
      <c r="J84" s="69" cm="1">
        <f t="array" ref="J84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0.15</v>
      </c>
      <c r="K84" s="69">
        <f>_xlfn.XLOOKUP(TB_Vendas[[#This Row],[Vendedor]],TB_Vendedor[Código],TB_Vendedor[Desc. Máximo])</f>
        <v>0.2</v>
      </c>
      <c r="L84" s="69">
        <f>IF(TB_Vendas[[#This Row],[Desconto 
(Diretão)]]&lt;=TB_Vendas[[#This Row],[Desconto 
(Vendedor)]],TB_Vendas[[#This Row],[Desconto 
(Diretão)]],TB_Vendas[[#This Row],[Desconto 
(Vendedor)]])</f>
        <v>0.15</v>
      </c>
      <c r="M84" s="63">
        <f>TB_Vendas[[#This Row],[Preço Unitário]]*TB_Vendas[[#This Row],[Qtd]]</f>
        <v>765</v>
      </c>
      <c r="N84" s="62" t="s">
        <v>126</v>
      </c>
    </row>
    <row r="85" spans="1:14">
      <c r="A85" s="1">
        <f>MONTH(TB_Vendas[[#This Row],[Data]])</f>
        <v>8</v>
      </c>
      <c r="B85" s="66" t="str">
        <f>PROPER(TEXT(DATE(,TB_Vendas[[#This Row],[Nº]],1),"Mmm"))</f>
        <v>Ago</v>
      </c>
      <c r="C85" s="67">
        <v>45152</v>
      </c>
      <c r="D85" s="66" t="s">
        <v>46</v>
      </c>
      <c r="E85" s="66" t="str">
        <f>_xlfn.XLOOKUP(TB_Vendas[[#This Row],[Código]],TB_Produtos[Código],TB_Produtos[Categoria])</f>
        <v>Vestuário</v>
      </c>
      <c r="F85" s="62">
        <v>6</v>
      </c>
      <c r="G85" s="68">
        <f>_xlfn.XLOOKUP(TB_Vendas[[#This Row],[Código]],TB_Produtos[Código],TB_Produtos[Preço Unitário])</f>
        <v>42.5</v>
      </c>
      <c r="H85" s="96">
        <f>_xlfn.XMATCH(TB_Vendas[[#This Row],[Categoria]],'Cadastros Auxiliares'!$B$8:$E$8,0)</f>
        <v>3</v>
      </c>
      <c r="I85" s="69">
        <f>VLOOKUP(TB_Vendas[[#This Row],[Qtd]],'Cadastros Auxiliares'!$B$8:$E$13,Vendas!H85,TRUE)</f>
        <v>0.25</v>
      </c>
      <c r="J85" s="69" cm="1">
        <f t="array" ref="J85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85" s="69">
        <f>_xlfn.XLOOKUP(TB_Vendas[[#This Row],[Vendedor]],TB_Vendedor[Código],TB_Vendedor[Desc. Máximo])</f>
        <v>0.2</v>
      </c>
      <c r="L85" s="69">
        <f>IF(TB_Vendas[[#This Row],[Desconto 
(Diretão)]]&lt;=TB_Vendas[[#This Row],[Desconto 
(Vendedor)]],TB_Vendas[[#This Row],[Desconto 
(Diretão)]],TB_Vendas[[#This Row],[Desconto 
(Vendedor)]])</f>
        <v>0.2</v>
      </c>
      <c r="M85" s="63">
        <f>TB_Vendas[[#This Row],[Preço Unitário]]*TB_Vendas[[#This Row],[Qtd]]</f>
        <v>255</v>
      </c>
      <c r="N85" s="62" t="s">
        <v>129</v>
      </c>
    </row>
    <row r="86" spans="1:14">
      <c r="A86" s="1">
        <f>MONTH(TB_Vendas[[#This Row],[Data]])</f>
        <v>8</v>
      </c>
      <c r="B86" s="66" t="str">
        <f>PROPER(TEXT(DATE(,TB_Vendas[[#This Row],[Nº]],1),"Mmm"))</f>
        <v>Ago</v>
      </c>
      <c r="C86" s="67">
        <v>45153</v>
      </c>
      <c r="D86" s="66" t="s">
        <v>45</v>
      </c>
      <c r="E86" s="66" t="str">
        <f>_xlfn.XLOOKUP(TB_Vendas[[#This Row],[Código]],TB_Produtos[Código],TB_Produtos[Categoria])</f>
        <v>Vestuário</v>
      </c>
      <c r="F86" s="62">
        <v>8</v>
      </c>
      <c r="G86" s="68">
        <f>_xlfn.XLOOKUP(TB_Vendas[[#This Row],[Código]],TB_Produtos[Código],TB_Produtos[Preço Unitário])</f>
        <v>39.9</v>
      </c>
      <c r="H86" s="96">
        <f>_xlfn.XMATCH(TB_Vendas[[#This Row],[Categoria]],'Cadastros Auxiliares'!$B$8:$E$8,0)</f>
        <v>3</v>
      </c>
      <c r="I86" s="69">
        <f>VLOOKUP(TB_Vendas[[#This Row],[Qtd]],'Cadastros Auxiliares'!$B$8:$E$13,Vendas!H86,TRUE)</f>
        <v>0.25</v>
      </c>
      <c r="J86" s="69" cm="1">
        <f t="array" ref="J86">INDEX('Cadastros Auxiliares'!$B$8:$E$13,_xlfn.XMATCH(TB_Vendas[[#This Row],[Qtd]],'Cadastros Auxiliares'!$B$8:$B$13,-1),_xlfn.XMATCH(_xlfn.XLOOKUP(TB_Vendas[[#This Row],[Código]],TB_Produtos[Código],TB_Produtos[Categoria]),'Cadastros Auxiliares'!$B$8:$E$8,0))</f>
        <v>0.25</v>
      </c>
      <c r="K86" s="69">
        <f>_xlfn.XLOOKUP(TB_Vendas[[#This Row],[Vendedor]],TB_Vendedor[Código],TB_Vendedor[Desc. Máximo])</f>
        <v>0.25</v>
      </c>
      <c r="L86" s="69">
        <f>IF(TB_Vendas[[#This Row],[Desconto 
(Diretão)]]&lt;=TB_Vendas[[#This Row],[Desconto 
(Vendedor)]],TB_Vendas[[#This Row],[Desconto 
(Diretão)]],TB_Vendas[[#This Row],[Desconto 
(Vendedor)]])</f>
        <v>0.25</v>
      </c>
      <c r="M86" s="63">
        <f>TB_Vendas[[#This Row],[Preço Unitário]]*TB_Vendas[[#This Row],[Qtd]]</f>
        <v>319.2</v>
      </c>
      <c r="N86" s="62" t="s">
        <v>127</v>
      </c>
    </row>
    <row r="87" spans="1:14" s="79" customFormat="1" ht="7.8" customHeight="1">
      <c r="A87" s="80"/>
      <c r="B87" s="80"/>
      <c r="C87" s="80"/>
      <c r="D87" s="80"/>
      <c r="E87" s="80"/>
    </row>
  </sheetData>
  <phoneticPr fontId="12" type="noConversion"/>
  <conditionalFormatting sqref="F4:L4">
    <cfRule type="cellIs" dxfId="6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G11"/>
  <sheetViews>
    <sheetView showRowColHeaders="0" workbookViewId="0">
      <selection activeCell="D10" sqref="D10"/>
    </sheetView>
  </sheetViews>
  <sheetFormatPr defaultColWidth="0" defaultRowHeight="14.4" zeroHeight="1"/>
  <cols>
    <col min="1" max="1" width="10.44140625" customWidth="1"/>
    <col min="2" max="2" width="12.5546875" customWidth="1"/>
    <col min="3" max="3" width="18.33203125" customWidth="1"/>
    <col min="4" max="4" width="26.88671875" customWidth="1"/>
    <col min="5" max="5" width="27.6640625" customWidth="1"/>
    <col min="6" max="6" width="26.88671875" customWidth="1"/>
    <col min="7" max="7" width="3.33203125" style="79" customWidth="1"/>
    <col min="8" max="16384" width="8.88671875" hidden="1"/>
  </cols>
  <sheetData>
    <row r="1" spans="1:6" s="32" customFormat="1" ht="40.200000000000003" customHeight="1">
      <c r="A1" s="35"/>
      <c r="B1" s="99" t="s">
        <v>133</v>
      </c>
      <c r="C1" s="99"/>
      <c r="D1" s="99"/>
      <c r="E1" s="37"/>
    </row>
    <row r="2" spans="1:6" s="33" customFormat="1" ht="4.5" customHeight="1">
      <c r="A2" s="36"/>
      <c r="B2" s="36"/>
    </row>
    <row r="3" spans="1:6" s="79" customFormat="1" ht="4.5" customHeight="1">
      <c r="A3" s="78"/>
      <c r="B3" s="78"/>
    </row>
    <row r="4" spans="1:6" s="79" customFormat="1"/>
    <row r="5" spans="1:6" ht="22.5" customHeight="1">
      <c r="A5" s="79"/>
      <c r="B5" s="79"/>
      <c r="C5" s="88" t="s">
        <v>30</v>
      </c>
      <c r="D5" s="89" t="s">
        <v>74</v>
      </c>
      <c r="E5" s="89" t="s">
        <v>145</v>
      </c>
      <c r="F5" s="90" t="s">
        <v>146</v>
      </c>
    </row>
    <row r="6" spans="1:6" ht="22.5" customHeight="1">
      <c r="A6" s="79"/>
      <c r="B6" s="79"/>
      <c r="C6" s="86" t="s">
        <v>126</v>
      </c>
      <c r="D6" s="81" t="s">
        <v>73</v>
      </c>
      <c r="E6" s="81" t="s">
        <v>147</v>
      </c>
      <c r="F6" s="87">
        <v>0.2</v>
      </c>
    </row>
    <row r="7" spans="1:6" ht="22.5" customHeight="1">
      <c r="A7" s="79"/>
      <c r="B7" s="79"/>
      <c r="C7" s="86" t="s">
        <v>127</v>
      </c>
      <c r="D7" s="81" t="s">
        <v>75</v>
      </c>
      <c r="E7" s="81" t="s">
        <v>148</v>
      </c>
      <c r="F7" s="87">
        <v>0.25</v>
      </c>
    </row>
    <row r="8" spans="1:6" ht="22.5" customHeight="1">
      <c r="A8" s="79"/>
      <c r="B8" s="79"/>
      <c r="C8" s="86" t="s">
        <v>128</v>
      </c>
      <c r="D8" s="81" t="s">
        <v>72</v>
      </c>
      <c r="E8" s="81" t="s">
        <v>149</v>
      </c>
      <c r="F8" s="87">
        <v>0.1</v>
      </c>
    </row>
    <row r="9" spans="1:6" ht="22.5" customHeight="1">
      <c r="A9" s="79"/>
      <c r="B9" s="79"/>
      <c r="C9" s="86" t="s">
        <v>129</v>
      </c>
      <c r="D9" s="81" t="s">
        <v>131</v>
      </c>
      <c r="E9" s="81" t="s">
        <v>150</v>
      </c>
      <c r="F9" s="87">
        <v>0.2</v>
      </c>
    </row>
    <row r="10" spans="1:6" ht="18">
      <c r="A10" s="79"/>
      <c r="B10" s="79"/>
      <c r="C10" s="91" t="s">
        <v>130</v>
      </c>
      <c r="D10" s="92" t="s">
        <v>132</v>
      </c>
      <c r="E10" s="92" t="s">
        <v>151</v>
      </c>
      <c r="F10" s="93">
        <v>0.15</v>
      </c>
    </row>
    <row r="11" spans="1:6" s="79" customFormat="1"/>
  </sheetData>
  <mergeCells count="1">
    <mergeCell ref="B1:D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1"/>
  <sheetViews>
    <sheetView showGridLines="0" showRowColHeaders="0" zoomScaleNormal="100" workbookViewId="0">
      <selection activeCell="D10" sqref="D10"/>
    </sheetView>
  </sheetViews>
  <sheetFormatPr defaultColWidth="0" defaultRowHeight="14.4" zeroHeight="1"/>
  <cols>
    <col min="1" max="1" width="8.88671875" customWidth="1"/>
    <col min="2" max="2" width="21.88671875" customWidth="1"/>
    <col min="3" max="3" width="34" customWidth="1"/>
    <col min="4" max="4" width="11.6640625" customWidth="1"/>
    <col min="5" max="5" width="21.88671875" customWidth="1"/>
    <col min="6" max="6" width="34" customWidth="1"/>
    <col min="7" max="7" width="2.6640625" customWidth="1"/>
    <col min="8" max="16384" width="8.88671875" hidden="1"/>
  </cols>
  <sheetData>
    <row r="1" spans="1:9" s="32" customFormat="1" ht="40.200000000000003" customHeight="1">
      <c r="A1" s="35"/>
      <c r="B1" s="39" t="s">
        <v>144</v>
      </c>
      <c r="C1" s="37"/>
      <c r="D1" s="37"/>
      <c r="E1" s="37"/>
      <c r="F1" s="37"/>
      <c r="G1" s="37"/>
      <c r="H1" s="37"/>
      <c r="I1" s="37"/>
    </row>
    <row r="2" spans="1:9" s="33" customFormat="1" ht="4.5" customHeight="1">
      <c r="A2" s="36"/>
      <c r="B2" s="36"/>
      <c r="C2" s="36"/>
      <c r="D2" s="36"/>
      <c r="E2" s="36"/>
      <c r="F2" s="36"/>
    </row>
    <row r="3" spans="1:9" ht="4.5" customHeight="1">
      <c r="A3" s="34"/>
      <c r="B3" s="34"/>
      <c r="C3" s="34"/>
      <c r="D3" s="34"/>
      <c r="E3" s="34"/>
      <c r="F3" s="34"/>
    </row>
    <row r="4" spans="1:9" ht="23.25" customHeight="1">
      <c r="A4" s="34"/>
      <c r="B4" s="100" t="s">
        <v>153</v>
      </c>
      <c r="C4" s="100"/>
      <c r="D4" s="34"/>
      <c r="E4" s="100" t="s">
        <v>160</v>
      </c>
      <c r="F4" s="100"/>
    </row>
    <row r="5" spans="1:9" ht="5.25" customHeight="1" thickBot="1"/>
    <row r="6" spans="1:9" ht="24.6" customHeight="1" thickBot="1">
      <c r="B6" s="55" t="s">
        <v>154</v>
      </c>
      <c r="C6" s="73" t="s">
        <v>107</v>
      </c>
      <c r="E6" s="55" t="s">
        <v>159</v>
      </c>
      <c r="F6" s="71">
        <v>44999</v>
      </c>
    </row>
    <row r="7" spans="1:9" ht="24.6" customHeight="1" thickTop="1" thickBot="1">
      <c r="B7" s="55" t="s">
        <v>155</v>
      </c>
      <c r="C7" s="72" t="str">
        <f>IFERROR(VLOOKUP($C$6,TB_Produtos[],2,FALSE),"")</f>
        <v>Camiseta Listrada</v>
      </c>
      <c r="E7" s="55" t="s">
        <v>162</v>
      </c>
      <c r="F7" s="72" t="str">
        <f>_xlfn.XLOOKUP(WEEKDAY(F6),'Cadastros Auxiliares'!$B$4:$I$4,'Cadastros Auxiliares'!$B$5:$I$5,"")</f>
        <v>Terça-feira</v>
      </c>
      <c r="G7" s="41"/>
    </row>
    <row r="8" spans="1:9" ht="24.6" customHeight="1" thickTop="1" thickBot="1">
      <c r="B8" s="56" t="s">
        <v>156</v>
      </c>
      <c r="C8" s="40" t="str">
        <f>_xlfn.XLOOKUP($C$6,TB_Produtos[Código],TB_Produtos[Tamanho],"")</f>
        <v>P</v>
      </c>
      <c r="E8" s="56" t="s">
        <v>163</v>
      </c>
      <c r="F8" s="51">
        <f>SUMIF(TB_Vendas[[#All],[Data]],Consultas!$F$6,TB_Vendas[[#All],[Total]])</f>
        <v>65.900000000000006</v>
      </c>
      <c r="G8" s="41"/>
    </row>
    <row r="9" spans="1:9" ht="24.6" customHeight="1" thickTop="1" thickBot="1">
      <c r="B9" s="57" t="s">
        <v>157</v>
      </c>
      <c r="C9" s="40" t="str">
        <f>_xlfn.XLOOKUP($C$6,TB_Produtos[Código],TB_Produtos[Categoria],"")</f>
        <v>Vestuário</v>
      </c>
      <c r="E9" s="70" t="s">
        <v>161</v>
      </c>
      <c r="F9" s="42">
        <f>SUMIF(TB_Vendas[[#All],[Data]],Consultas!$F$6,TB_Vendas[[#All],[Qtd]])</f>
        <v>1</v>
      </c>
      <c r="G9" s="41"/>
    </row>
    <row r="10" spans="1:9" ht="24.6" customHeight="1" thickTop="1" thickBot="1">
      <c r="B10" s="57" t="s">
        <v>164</v>
      </c>
      <c r="C10" s="51">
        <f>_xlfn.XLOOKUP($C$6,TB_Produtos[Código],TB_Produtos[Preço Unitário],"")</f>
        <v>32.9</v>
      </c>
      <c r="G10" s="41"/>
    </row>
    <row r="11" spans="1:9" ht="24.6" customHeight="1" thickTop="1" thickBot="1">
      <c r="B11" s="55" t="s">
        <v>158</v>
      </c>
      <c r="C11" s="72">
        <f>_xlfn.XLOOKUP($C$6,TB_Produtos[Código],TB_Produtos[Estoque],"")</f>
        <v>40</v>
      </c>
      <c r="G11" s="41"/>
    </row>
    <row r="12" spans="1:9" ht="24.6" customHeight="1" thickTop="1" thickBot="1">
      <c r="B12" s="55" t="s">
        <v>166</v>
      </c>
      <c r="C12" s="74" t="str" cm="1">
        <f t="array" ref="C12">_xlfn.IFS($C$11=0,"Zerou o Estoque",$C$11&gt;_xlfn.XLOOKUP(C9,'Cadastros Auxiliares'!G9:G11,'Cadastros Auxiliares'!H9:H11,""),"Estoque em Dia",1,"Rever o Estoque")</f>
        <v>Estoque em Dia</v>
      </c>
      <c r="G12" s="41"/>
    </row>
    <row r="13" spans="1:9" ht="22.8" thickTop="1" thickBot="1">
      <c r="B13" s="58" t="s">
        <v>167</v>
      </c>
      <c r="C13" s="42" t="str">
        <f>IF($C$11&gt;=10,"Estoque OK",IF($C$11=0,"Estoque Zerado","Estoque Baixo"))</f>
        <v>Estoque OK</v>
      </c>
      <c r="D13" s="59"/>
      <c r="E13" s="52"/>
    </row>
    <row r="14" spans="1:9" ht="23.4">
      <c r="E14" s="53"/>
    </row>
    <row r="15" spans="1:9"/>
    <row r="16" spans="1:9"/>
    <row r="17"/>
    <row r="18"/>
    <row r="19"/>
    <row r="20"/>
    <row r="21"/>
  </sheetData>
  <mergeCells count="2">
    <mergeCell ref="B4:C4"/>
    <mergeCell ref="E4:F4"/>
  </mergeCells>
  <conditionalFormatting sqref="C12">
    <cfRule type="containsText" dxfId="5" priority="1" operator="containsText" text="Estoque em Dia">
      <formula>NOT(ISERROR(SEARCH("Estoque em Dia",C12)))</formula>
    </cfRule>
    <cfRule type="containsText" dxfId="4" priority="2" operator="containsText" text="Rever o Estoque">
      <formula>NOT(ISERROR(SEARCH("Rever o Estoque",C12)))</formula>
    </cfRule>
    <cfRule type="containsText" dxfId="3" priority="3" operator="containsText" text="Zerou o Estoque">
      <formula>NOT(ISERROR(SEARCH("Zerou o Estoque",C12)))</formula>
    </cfRule>
  </conditionalFormatting>
  <conditionalFormatting sqref="C13">
    <cfRule type="containsText" dxfId="2" priority="7" operator="containsText" text="Estoque OK">
      <formula>NOT(ISERROR(SEARCH("Estoque OK",C13)))</formula>
    </cfRule>
    <cfRule type="containsText" dxfId="1" priority="8" operator="containsText" text="Estoque Baixo">
      <formula>NOT(ISERROR(SEARCH("Estoque Baixo",C13)))</formula>
    </cfRule>
    <cfRule type="containsText" dxfId="0" priority="9" operator="containsText" text="Estoque Zerado">
      <formula>NOT(ISERROR(SEARCH("Estoque Zerado",C13)))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A1:J24"/>
  <sheetViews>
    <sheetView showGridLines="0" showRowColHeaders="0" zoomScaleNormal="100" workbookViewId="0">
      <selection activeCell="D19" sqref="D19"/>
    </sheetView>
  </sheetViews>
  <sheetFormatPr defaultColWidth="0" defaultRowHeight="14.4" zeroHeight="1"/>
  <cols>
    <col min="1" max="1" width="8" customWidth="1"/>
    <col min="2" max="2" width="30.88671875" customWidth="1"/>
    <col min="3" max="8" width="17.44140625" customWidth="1"/>
    <col min="9" max="9" width="17.44140625" style="79" customWidth="1"/>
    <col min="10" max="10" width="1.33203125" style="79" customWidth="1"/>
    <col min="11" max="16384" width="8.88671875" style="79" hidden="1"/>
  </cols>
  <sheetData>
    <row r="1" spans="1:10" ht="40.200000000000003" customHeight="1">
      <c r="A1" s="32"/>
      <c r="B1" s="50" t="s">
        <v>135</v>
      </c>
      <c r="C1" s="39"/>
      <c r="D1" s="39"/>
      <c r="E1" s="39"/>
      <c r="F1" s="39"/>
      <c r="G1" s="39"/>
      <c r="H1" s="39"/>
      <c r="I1" s="37"/>
      <c r="J1" s="83"/>
    </row>
    <row r="2" spans="1:10" ht="4.5" customHeight="1">
      <c r="A2" s="33"/>
      <c r="B2" s="36"/>
      <c r="C2" s="36"/>
      <c r="D2" s="36"/>
      <c r="E2" s="36"/>
      <c r="F2" s="36"/>
      <c r="G2" s="36"/>
      <c r="H2" s="33"/>
      <c r="I2" s="33"/>
    </row>
    <row r="3" spans="1:10" ht="4.5" customHeight="1" thickBot="1">
      <c r="A3" s="79"/>
      <c r="B3" s="78"/>
      <c r="C3" s="78"/>
      <c r="D3" s="78"/>
      <c r="E3" s="78"/>
      <c r="F3" s="78"/>
      <c r="G3" s="78"/>
      <c r="H3" s="79"/>
    </row>
    <row r="4" spans="1:10" ht="22.2" thickBot="1">
      <c r="B4" s="75" t="s">
        <v>30</v>
      </c>
      <c r="C4" s="76">
        <v>1</v>
      </c>
      <c r="D4" s="77">
        <v>2</v>
      </c>
      <c r="E4" s="76">
        <v>3</v>
      </c>
      <c r="F4" s="77">
        <v>4</v>
      </c>
      <c r="G4" s="76">
        <v>5</v>
      </c>
      <c r="H4" s="77">
        <v>6</v>
      </c>
      <c r="I4" s="76">
        <v>7</v>
      </c>
    </row>
    <row r="5" spans="1:10" s="82" customFormat="1" ht="22.2" thickBot="1">
      <c r="B5" s="43" t="s">
        <v>136</v>
      </c>
      <c r="C5" s="44" t="s">
        <v>137</v>
      </c>
      <c r="D5" s="44" t="s">
        <v>138</v>
      </c>
      <c r="E5" s="44" t="s">
        <v>139</v>
      </c>
      <c r="F5" s="44" t="s">
        <v>140</v>
      </c>
      <c r="G5" s="44" t="s">
        <v>141</v>
      </c>
      <c r="H5" s="44" t="s">
        <v>142</v>
      </c>
      <c r="I5" s="44" t="s">
        <v>143</v>
      </c>
    </row>
    <row r="6" spans="1:10">
      <c r="A6" s="79"/>
      <c r="B6" s="79"/>
      <c r="C6" s="79"/>
      <c r="D6" s="79"/>
      <c r="E6" s="79"/>
      <c r="F6" s="79"/>
      <c r="G6" s="79"/>
      <c r="H6" s="79"/>
    </row>
    <row r="7" spans="1:10" ht="15" thickBot="1">
      <c r="A7" s="79"/>
      <c r="B7" s="79"/>
      <c r="C7" s="79"/>
      <c r="D7" s="79"/>
      <c r="E7" s="79"/>
      <c r="F7" s="79"/>
      <c r="G7" s="79"/>
      <c r="H7" s="79"/>
    </row>
    <row r="8" spans="1:10" ht="43.8" thickBot="1">
      <c r="A8" s="79"/>
      <c r="B8" s="47" t="s">
        <v>152</v>
      </c>
      <c r="C8" s="48" t="s">
        <v>13</v>
      </c>
      <c r="D8" s="48" t="s">
        <v>12</v>
      </c>
      <c r="E8" s="48" t="s">
        <v>14</v>
      </c>
      <c r="F8" s="79"/>
      <c r="G8" s="48" t="s">
        <v>10</v>
      </c>
      <c r="H8" s="47" t="s">
        <v>165</v>
      </c>
    </row>
    <row r="9" spans="1:10" ht="17.399999999999999" thickBot="1">
      <c r="A9" s="79"/>
      <c r="B9" s="44">
        <v>1</v>
      </c>
      <c r="C9" s="46">
        <v>0</v>
      </c>
      <c r="D9" s="46">
        <v>0.1</v>
      </c>
      <c r="E9" s="49">
        <v>0</v>
      </c>
      <c r="F9" s="79"/>
      <c r="G9" s="49" t="s">
        <v>13</v>
      </c>
      <c r="H9" s="60">
        <v>5</v>
      </c>
    </row>
    <row r="10" spans="1:10" ht="17.399999999999999" thickBot="1">
      <c r="A10" s="79"/>
      <c r="B10" s="44">
        <v>2</v>
      </c>
      <c r="C10" s="46">
        <v>0.05</v>
      </c>
      <c r="D10" s="46">
        <v>0.15</v>
      </c>
      <c r="E10" s="49">
        <v>0.1</v>
      </c>
      <c r="F10" s="79"/>
      <c r="G10" s="49" t="s">
        <v>12</v>
      </c>
      <c r="H10" s="60">
        <v>10</v>
      </c>
    </row>
    <row r="11" spans="1:10" ht="17.399999999999999" thickBot="1">
      <c r="A11" s="79"/>
      <c r="B11" s="44">
        <v>3</v>
      </c>
      <c r="C11" s="46">
        <v>0.15</v>
      </c>
      <c r="D11" s="46">
        <v>0.2</v>
      </c>
      <c r="E11" s="49">
        <v>0.15</v>
      </c>
      <c r="F11" s="79"/>
      <c r="G11" s="49" t="s">
        <v>14</v>
      </c>
      <c r="H11" s="60">
        <v>15</v>
      </c>
    </row>
    <row r="12" spans="1:10" ht="17.399999999999999" thickBot="1">
      <c r="A12" s="79"/>
      <c r="B12" s="44">
        <v>5</v>
      </c>
      <c r="C12" s="46">
        <v>0.25</v>
      </c>
      <c r="D12" s="46">
        <v>0.25</v>
      </c>
      <c r="E12" s="49">
        <v>0.25</v>
      </c>
      <c r="F12" s="79"/>
      <c r="G12" s="49"/>
      <c r="H12" s="60"/>
    </row>
    <row r="13" spans="1:10" ht="17.399999999999999" thickBot="1">
      <c r="A13" s="79"/>
      <c r="B13" s="44">
        <v>10</v>
      </c>
      <c r="C13" s="46">
        <v>0.3</v>
      </c>
      <c r="D13" s="46">
        <v>0.3</v>
      </c>
      <c r="E13" s="49">
        <v>0.3</v>
      </c>
      <c r="F13" s="79"/>
      <c r="G13" s="49"/>
      <c r="H13" s="60"/>
    </row>
    <row r="14" spans="1:10">
      <c r="A14" s="79"/>
      <c r="B14" s="79"/>
      <c r="C14" s="79"/>
      <c r="D14" s="79"/>
      <c r="E14" s="79"/>
      <c r="F14" s="79"/>
      <c r="G14" s="79"/>
      <c r="H14" s="79"/>
    </row>
    <row r="15" spans="1:10">
      <c r="A15" s="79"/>
      <c r="B15" s="79"/>
      <c r="C15" s="79"/>
      <c r="D15" s="79"/>
      <c r="E15" s="79"/>
      <c r="F15" s="79"/>
      <c r="G15" s="79"/>
      <c r="H15" s="79"/>
    </row>
    <row r="16" spans="1:10">
      <c r="A16" s="79"/>
      <c r="B16" s="79"/>
      <c r="C16" s="84" t="s">
        <v>60</v>
      </c>
      <c r="D16" s="79"/>
      <c r="E16" s="79"/>
      <c r="F16" s="84">
        <f>_xlfn.XMATCH(C18,B8:E8,0)</f>
        <v>4</v>
      </c>
      <c r="G16" s="84" t="s">
        <v>169</v>
      </c>
      <c r="H16" s="79"/>
    </row>
    <row r="17" spans="3:7" s="79" customFormat="1">
      <c r="C17" s="84">
        <v>4</v>
      </c>
      <c r="D17" s="85">
        <f>VLOOKUP(C17,B9:E13,F16,TRUE)</f>
        <v>0.15</v>
      </c>
      <c r="F17" s="84">
        <f>_xlfn.XMATCH(C17,B8:B13,-1)</f>
        <v>4</v>
      </c>
      <c r="G17" s="84" t="s">
        <v>170</v>
      </c>
    </row>
    <row r="18" spans="3:7" s="79" customFormat="1">
      <c r="C18" s="84" t="str">
        <f>_xlfn.XLOOKUP(C16,TB_Produtos[Código],TB_Produtos[Categoria])</f>
        <v>Calçado</v>
      </c>
      <c r="F18" s="85" cm="1">
        <f t="array" ref="F18">INDEX(B8:E13,_xlfn.XMATCH(C17,B8:B13,-1),_xlfn.XMATCH(C18,B8:E8,0))</f>
        <v>0.15</v>
      </c>
      <c r="G18" s="84"/>
    </row>
    <row r="19" spans="3:7" s="79" customFormat="1"/>
    <row r="20" spans="3:7" s="79" customFormat="1"/>
    <row r="21" spans="3:7" s="79" customFormat="1"/>
    <row r="22" spans="3:7" s="79" customFormat="1"/>
    <row r="23" spans="3:7" s="79" customFormat="1"/>
    <row r="24" spans="3:7" s="79" customFormat="1"/>
  </sheetData>
  <phoneticPr fontId="12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BF57CE93-2177-4A14-903B-09BEB3513462}">
          <x14:formula1>
            <xm:f>Produtos!$E$7:$E$66</xm:f>
          </x14:formula1>
          <xm:sqref>G9:G13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4"/>
  <sheetViews>
    <sheetView zoomScaleNormal="100" workbookViewId="0">
      <selection activeCell="L2" sqref="L2"/>
    </sheetView>
  </sheetViews>
  <sheetFormatPr defaultRowHeight="14.4"/>
  <cols>
    <col min="1" max="1" width="17.109375" customWidth="1"/>
    <col min="2" max="2" width="20.88671875" customWidth="1"/>
    <col min="3" max="3" width="1.33203125" customWidth="1"/>
    <col min="6" max="6" width="13.5546875" customWidth="1"/>
    <col min="8" max="8" width="1.33203125" customWidth="1"/>
    <col min="9" max="11" width="13" customWidth="1"/>
    <col min="12" max="12" width="15.33203125" customWidth="1"/>
  </cols>
  <sheetData>
    <row r="1" spans="1:12" s="13" customFormat="1">
      <c r="A1" s="14" t="s">
        <v>84</v>
      </c>
      <c r="B1" s="15" t="s">
        <v>85</v>
      </c>
      <c r="D1" s="14" t="s">
        <v>87</v>
      </c>
      <c r="E1" s="18" t="s">
        <v>86</v>
      </c>
      <c r="F1" s="18" t="s">
        <v>16</v>
      </c>
      <c r="G1" s="15" t="s">
        <v>15</v>
      </c>
      <c r="I1" s="21" t="s">
        <v>10</v>
      </c>
      <c r="J1" s="23" t="s">
        <v>95</v>
      </c>
      <c r="K1" s="23" t="s">
        <v>94</v>
      </c>
      <c r="L1" s="22" t="s">
        <v>16</v>
      </c>
    </row>
    <row r="2" spans="1:12">
      <c r="A2" s="3" t="s">
        <v>13</v>
      </c>
      <c r="B2" s="16">
        <f>SUMIF(TB_Vendas[Categoria],A2,TB_Vendas[Total])</f>
        <v>5288.5</v>
      </c>
      <c r="D2" s="3">
        <v>1</v>
      </c>
      <c r="E2" s="2" t="s">
        <v>88</v>
      </c>
      <c r="F2" s="6">
        <f>SUMIF(TB_Vendas[Nº],D2,TB_Vendas[Total])</f>
        <v>1750.9</v>
      </c>
      <c r="G2" s="19">
        <f>SUMIF(TB_Vendas[Nº],D2,TB_Vendas[Qtd])</f>
        <v>14</v>
      </c>
      <c r="I2" s="3" t="s">
        <v>72</v>
      </c>
      <c r="J2" s="26" t="e">
        <f>L2/SUM($L$2:$L$4)</f>
        <v>#DIV/0!</v>
      </c>
      <c r="K2" s="24" t="e">
        <f>100%-J2</f>
        <v>#DIV/0!</v>
      </c>
      <c r="L2" s="16">
        <f>SUMIF(TB_Vendas[Vendedor],I2,TB_Vendas[Total])</f>
        <v>0</v>
      </c>
    </row>
    <row r="3" spans="1:12">
      <c r="A3" s="3" t="s">
        <v>71</v>
      </c>
      <c r="B3" s="16">
        <f>SUMIF(TB_Vendas[Categoria],A3,TB_Vendas[Total])</f>
        <v>0</v>
      </c>
      <c r="D3" s="3">
        <v>2</v>
      </c>
      <c r="E3" s="2" t="s">
        <v>89</v>
      </c>
      <c r="F3" s="6">
        <f>SUMIF(TB_Vendas[Nº],D3,TB_Vendas[Total])</f>
        <v>2974.9</v>
      </c>
      <c r="G3" s="19">
        <f>SUMIF(TB_Vendas[Nº],D3,TB_Vendas[Qtd])</f>
        <v>15</v>
      </c>
      <c r="I3" s="3" t="s">
        <v>73</v>
      </c>
      <c r="J3" s="26" t="e">
        <f t="shared" ref="J3" si="0">L3/SUM($L$2:$L$4)</f>
        <v>#DIV/0!</v>
      </c>
      <c r="K3" s="24" t="e">
        <f t="shared" ref="K3:K4" si="1">100%-J3</f>
        <v>#DIV/0!</v>
      </c>
      <c r="L3" s="16">
        <f>SUMIF(TB_Vendas[Vendedor],I3,TB_Vendas[Total])</f>
        <v>0</v>
      </c>
    </row>
    <row r="4" spans="1:12" ht="15" thickBot="1">
      <c r="A4" s="4" t="s">
        <v>12</v>
      </c>
      <c r="B4" s="16">
        <f>SUMIF(TB_Vendas[Categoria],A4,TB_Vendas[Total])</f>
        <v>24407.499999999996</v>
      </c>
      <c r="D4" s="3">
        <v>3</v>
      </c>
      <c r="E4" s="2" t="s">
        <v>90</v>
      </c>
      <c r="F4" s="6">
        <f>SUMIF(TB_Vendas[Nº],D4,TB_Vendas[Total])</f>
        <v>3698.1</v>
      </c>
      <c r="G4" s="19">
        <f>SUMIF(TB_Vendas[Nº],D4,TB_Vendas[Qtd])</f>
        <v>26</v>
      </c>
      <c r="I4" s="4" t="s">
        <v>75</v>
      </c>
      <c r="J4" s="27" t="e">
        <f>L4/SUM($L$2:$L$4)</f>
        <v>#DIV/0!</v>
      </c>
      <c r="K4" s="25" t="e">
        <f t="shared" si="1"/>
        <v>#DIV/0!</v>
      </c>
      <c r="L4" s="17">
        <f>SUMIF(TB_Vendas[Vendedor],I4,TB_Vendas[Total])</f>
        <v>0</v>
      </c>
    </row>
    <row r="5" spans="1:12">
      <c r="D5" s="3">
        <v>4</v>
      </c>
      <c r="E5" s="2" t="s">
        <v>91</v>
      </c>
      <c r="F5" s="6">
        <f>SUMIF(TB_Vendas[Nº],D5,TB_Vendas[Total])</f>
        <v>3651.0999999999995</v>
      </c>
      <c r="G5" s="19">
        <f>SUMIF(TB_Vendas[Nº],D5,TB_Vendas[Qtd])</f>
        <v>28</v>
      </c>
    </row>
    <row r="6" spans="1:12">
      <c r="D6" s="3">
        <v>5</v>
      </c>
      <c r="E6" s="2" t="s">
        <v>92</v>
      </c>
      <c r="F6" s="6">
        <f>SUMIF(TB_Vendas[Nº],D6,TB_Vendas[Total])</f>
        <v>2776.2999999999997</v>
      </c>
      <c r="G6" s="19">
        <f>SUMIF(TB_Vendas[Nº],D6,TB_Vendas[Qtd])</f>
        <v>17</v>
      </c>
    </row>
    <row r="7" spans="1:12" ht="15" thickBot="1">
      <c r="D7" s="4">
        <v>6</v>
      </c>
      <c r="E7" s="5" t="s">
        <v>93</v>
      </c>
      <c r="F7" s="7">
        <f>SUMIF(TB_Vendas[Nº],D7,TB_Vendas[Total])</f>
        <v>3477.7000000000007</v>
      </c>
      <c r="G7" s="20">
        <f>SUMIF(TB_Vendas[Nº],D7,TB_Vendas[Qtd])</f>
        <v>41</v>
      </c>
    </row>
    <row r="11" spans="1:12">
      <c r="I11" s="28"/>
      <c r="J11" s="28"/>
      <c r="K11" s="28"/>
      <c r="L11" s="28"/>
    </row>
    <row r="12" spans="1:12">
      <c r="J12" s="29"/>
      <c r="K12" s="30"/>
      <c r="L12" s="8"/>
    </row>
    <row r="13" spans="1:12">
      <c r="J13" s="29"/>
      <c r="K13" s="30"/>
      <c r="L13" s="8"/>
    </row>
    <row r="14" spans="1:12">
      <c r="J14" s="29"/>
      <c r="K14" s="30"/>
      <c r="L14" s="8"/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CK34" sqref="CK34"/>
    </sheetView>
  </sheetViews>
  <sheetFormatPr defaultColWidth="2" defaultRowHeight="9.75" customHeight="1"/>
  <cols>
    <col min="1" max="16384" width="2" style="11"/>
  </cols>
  <sheetData>
    <row r="1" spans="3:80" ht="9.75" customHeight="1" thickBot="1"/>
    <row r="2" spans="3:80" ht="9.75" customHeight="1">
      <c r="W2" s="101" t="s">
        <v>78</v>
      </c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3"/>
      <c r="AQ2" s="101" t="s">
        <v>79</v>
      </c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3"/>
      <c r="BK2" s="101" t="s">
        <v>80</v>
      </c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3"/>
    </row>
    <row r="3" spans="3:80" ht="9.75" customHeight="1" thickBot="1">
      <c r="W3" s="104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6"/>
      <c r="AQ3" s="104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6"/>
      <c r="BK3" s="104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6"/>
    </row>
    <row r="4" spans="3:80" ht="9.75" customHeight="1">
      <c r="W4" s="116">
        <f>COUNTA(TB_Produtos[Código])</f>
        <v>60</v>
      </c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8"/>
      <c r="AQ4" s="116">
        <f>SUM(TB_Vendas[Qtd])</f>
        <v>250</v>
      </c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8"/>
      <c r="BK4" s="125">
        <f>SUM(TB_Vendas[Total])</f>
        <v>33304.799999999988</v>
      </c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7"/>
    </row>
    <row r="5" spans="3:80" ht="9.75" customHeight="1">
      <c r="W5" s="119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1"/>
      <c r="AQ5" s="119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1"/>
      <c r="BK5" s="128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30"/>
    </row>
    <row r="6" spans="3:80" ht="9.75" customHeight="1">
      <c r="W6" s="119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1"/>
      <c r="AQ6" s="119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1"/>
      <c r="BK6" s="128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30"/>
    </row>
    <row r="7" spans="3:80" ht="9.75" customHeight="1" thickBot="1">
      <c r="W7" s="122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4"/>
      <c r="AQ7" s="122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4"/>
      <c r="BK7" s="131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3"/>
    </row>
    <row r="8" spans="3:80" ht="9.75" customHeight="1" thickBot="1"/>
    <row r="9" spans="3:80" ht="9.75" customHeight="1">
      <c r="C9" s="101" t="s">
        <v>81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3"/>
    </row>
    <row r="10" spans="3:80" ht="9.75" customHeight="1" thickBot="1"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05"/>
      <c r="BZ10" s="105"/>
      <c r="CA10" s="105"/>
      <c r="CB10" s="106"/>
    </row>
    <row r="11" spans="3:80" ht="9.75" customHeight="1">
      <c r="C11" s="107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9"/>
    </row>
    <row r="12" spans="3:80" ht="9.75" customHeight="1">
      <c r="C12" s="110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2"/>
    </row>
    <row r="13" spans="3:80" ht="9.75" customHeight="1">
      <c r="C13" s="110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2"/>
    </row>
    <row r="14" spans="3:80" ht="9.75" customHeight="1">
      <c r="C14" s="110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2"/>
    </row>
    <row r="15" spans="3:80" ht="9.75" customHeight="1">
      <c r="C15" s="110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2"/>
    </row>
    <row r="16" spans="3:80" ht="9.75" customHeight="1">
      <c r="C16" s="110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2"/>
    </row>
    <row r="17" spans="3:80" ht="9.75" customHeight="1">
      <c r="C17" s="110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2"/>
    </row>
    <row r="18" spans="3:80" ht="9.75" customHeight="1">
      <c r="C18" s="110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2"/>
    </row>
    <row r="19" spans="3:80" ht="9.75" customHeight="1">
      <c r="C19" s="110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2"/>
    </row>
    <row r="20" spans="3:80" ht="9.75" customHeight="1"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2"/>
    </row>
    <row r="21" spans="3:80" ht="9.75" customHeight="1">
      <c r="C21" s="110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2"/>
    </row>
    <row r="22" spans="3:80" ht="9.75" customHeight="1">
      <c r="C22" s="110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2"/>
    </row>
    <row r="23" spans="3:80" ht="9.75" customHeight="1">
      <c r="C23" s="110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2"/>
    </row>
    <row r="24" spans="3:80" ht="9.75" customHeight="1" thickBot="1">
      <c r="C24" s="113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4"/>
      <c r="BT24" s="114"/>
      <c r="BU24" s="114"/>
      <c r="BV24" s="114"/>
      <c r="BW24" s="114"/>
      <c r="BX24" s="114"/>
      <c r="BY24" s="114"/>
      <c r="BZ24" s="114"/>
      <c r="CA24" s="114"/>
      <c r="CB24" s="115"/>
    </row>
    <row r="25" spans="3:80" ht="9.75" customHeight="1" thickBot="1"/>
    <row r="26" spans="3:80" ht="9.75" customHeight="1">
      <c r="C26" s="101" t="s">
        <v>82</v>
      </c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3"/>
      <c r="AO26" s="12"/>
      <c r="AP26" s="12"/>
      <c r="AQ26" s="101" t="s">
        <v>83</v>
      </c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3"/>
    </row>
    <row r="27" spans="3:80" ht="9.75" customHeight="1" thickBot="1">
      <c r="C27" s="104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6"/>
      <c r="AO27" s="12"/>
      <c r="AP27" s="12"/>
      <c r="AQ27" s="104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6"/>
    </row>
    <row r="28" spans="3:80" ht="9.75" customHeight="1">
      <c r="C28" s="107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9"/>
      <c r="AQ28" s="107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9"/>
    </row>
    <row r="29" spans="3:80" ht="9.75" customHeight="1">
      <c r="C29" s="110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2"/>
      <c r="AQ29" s="110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  <c r="BW29" s="111"/>
      <c r="BX29" s="111"/>
      <c r="BY29" s="111"/>
      <c r="BZ29" s="111"/>
      <c r="CA29" s="111"/>
      <c r="CB29" s="112"/>
    </row>
    <row r="30" spans="3:80" ht="9.75" customHeight="1">
      <c r="C30" s="110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2"/>
      <c r="AQ30" s="110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2"/>
    </row>
    <row r="31" spans="3:80" ht="9.75" customHeight="1">
      <c r="C31" s="110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2"/>
      <c r="AQ31" s="110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2"/>
    </row>
    <row r="32" spans="3:80" ht="9.75" customHeight="1">
      <c r="C32" s="110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2"/>
      <c r="AQ32" s="110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11"/>
      <c r="BW32" s="111"/>
      <c r="BX32" s="111"/>
      <c r="BY32" s="111"/>
      <c r="BZ32" s="111"/>
      <c r="CA32" s="111"/>
      <c r="CB32" s="112"/>
    </row>
    <row r="33" spans="3:80" ht="9.75" customHeight="1">
      <c r="C33" s="110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2"/>
      <c r="AQ33" s="110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2"/>
    </row>
    <row r="34" spans="3:80" ht="9.75" customHeight="1">
      <c r="C34" s="110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2"/>
      <c r="AQ34" s="110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2"/>
    </row>
    <row r="35" spans="3:80" ht="9.75" customHeight="1">
      <c r="C35" s="110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2"/>
      <c r="AQ35" s="110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2"/>
    </row>
    <row r="36" spans="3:80" ht="9.75" customHeight="1">
      <c r="C36" s="110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2"/>
      <c r="AQ36" s="110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2"/>
    </row>
    <row r="37" spans="3:80" ht="9.75" customHeight="1">
      <c r="C37" s="110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2"/>
      <c r="AQ37" s="110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2"/>
    </row>
    <row r="38" spans="3:80" ht="9.75" customHeight="1">
      <c r="C38" s="110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2"/>
      <c r="AQ38" s="110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2"/>
    </row>
    <row r="39" spans="3:80" ht="9.75" customHeight="1">
      <c r="C39" s="110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2"/>
      <c r="AQ39" s="110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2"/>
    </row>
    <row r="40" spans="3:80" ht="9.75" customHeight="1">
      <c r="C40" s="110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2"/>
      <c r="AQ40" s="110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2"/>
    </row>
    <row r="41" spans="3:80" ht="9.75" customHeight="1">
      <c r="C41" s="110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2"/>
      <c r="AQ41" s="110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2"/>
    </row>
    <row r="42" spans="3:80" ht="9.75" customHeight="1">
      <c r="C42" s="110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2"/>
      <c r="AQ42" s="110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2"/>
    </row>
    <row r="43" spans="3:80" ht="9.75" customHeight="1">
      <c r="C43" s="110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2"/>
      <c r="AQ43" s="110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2"/>
    </row>
    <row r="44" spans="3:80" ht="9.75" customHeight="1">
      <c r="C44" s="110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2"/>
      <c r="AQ44" s="110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2"/>
    </row>
    <row r="45" spans="3:80" ht="9.75" customHeight="1">
      <c r="C45" s="110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2"/>
      <c r="AQ45" s="110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2"/>
    </row>
    <row r="46" spans="3:80" ht="9.75" customHeight="1" thickBot="1">
      <c r="C46" s="113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5"/>
      <c r="AQ46" s="113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  <c r="BB46" s="114"/>
      <c r="BC46" s="114"/>
      <c r="BD46" s="114"/>
      <c r="BE46" s="114"/>
      <c r="BF46" s="114"/>
      <c r="BG46" s="114"/>
      <c r="BH46" s="114"/>
      <c r="BI46" s="114"/>
      <c r="BJ46" s="114"/>
      <c r="BK46" s="114"/>
      <c r="BL46" s="114"/>
      <c r="BM46" s="114"/>
      <c r="BN46" s="114"/>
      <c r="BO46" s="114"/>
      <c r="BP46" s="114"/>
      <c r="BQ46" s="114"/>
      <c r="BR46" s="114"/>
      <c r="BS46" s="114"/>
      <c r="BT46" s="114"/>
      <c r="BU46" s="114"/>
      <c r="BV46" s="114"/>
      <c r="BW46" s="114"/>
      <c r="BX46" s="114"/>
      <c r="BY46" s="114"/>
      <c r="BZ46" s="114"/>
      <c r="CA46" s="114"/>
      <c r="CB46" s="115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9</vt:i4>
      </vt:variant>
    </vt:vector>
  </HeadingPairs>
  <TitlesOfParts>
    <vt:vector size="17" baseType="lpstr">
      <vt:lpstr>Menu</vt:lpstr>
      <vt:lpstr>Produtos</vt:lpstr>
      <vt:lpstr>Vendas</vt:lpstr>
      <vt:lpstr>Vendedores</vt:lpstr>
      <vt:lpstr>Consultas</vt:lpstr>
      <vt:lpstr>Cadastros Auxiliares</vt:lpstr>
      <vt:lpstr>Dados para Gráficos</vt:lpstr>
      <vt:lpstr>Dashboard</vt:lpstr>
      <vt:lpstr>Desc_Categorias</vt:lpstr>
      <vt:lpstr>Desc_Quantidades</vt:lpstr>
      <vt:lpstr>Desc_TabelaToda</vt:lpstr>
      <vt:lpstr>Int_Categoria</vt:lpstr>
      <vt:lpstr>Int_Codigo</vt:lpstr>
      <vt:lpstr>Int_Estoque</vt:lpstr>
      <vt:lpstr>Int_PrecoUnit</vt:lpstr>
      <vt:lpstr>Int_Produtos</vt:lpstr>
      <vt:lpstr>Int_Tamanho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Samir Oliveira</cp:lastModifiedBy>
  <cp:lastPrinted>2023-06-07T14:57:58Z</cp:lastPrinted>
  <dcterms:created xsi:type="dcterms:W3CDTF">2023-06-02T17:54:12Z</dcterms:created>
  <dcterms:modified xsi:type="dcterms:W3CDTF">2025-11-20T13:30:12Z</dcterms:modified>
</cp:coreProperties>
</file>