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c85b6e2554a4e58c/Documentos/GitHub/portfolio-em-dados/Excel/E-commerce_meteora/"/>
    </mc:Choice>
  </mc:AlternateContent>
  <xr:revisionPtr revIDLastSave="79" documentId="8_{9FBF241B-5C5A-49B3-8CAF-940A69EAA5E1}" xr6:coauthVersionLast="47" xr6:coauthVersionMax="47" xr10:uidLastSave="{370F2BA4-9718-435F-B3BC-1EDDCA410D33}"/>
  <bookViews>
    <workbookView xWindow="28680" yWindow="-120" windowWidth="38640" windowHeight="15720" tabRatio="698" activeTab="1" xr2:uid="{F6D97A53-F63B-4272-A181-44B26E0B790F}"/>
  </bookViews>
  <sheets>
    <sheet name="Menu" sheetId="25" r:id="rId1"/>
    <sheet name="Produtos" sheetId="17" r:id="rId2"/>
    <sheet name="Vendedores" sheetId="28" r:id="rId3"/>
    <sheet name="Vendas" sheetId="16" r:id="rId4"/>
    <sheet name="Consultas" sheetId="24" r:id="rId5"/>
    <sheet name="Cadastros Auxiliares" sheetId="23" r:id="rId6"/>
    <sheet name="Dados para Gráficos" sheetId="19" state="hidden" r:id="rId7"/>
    <sheet name="Dashboard" sheetId="18" state="hidden" r:id="rId8"/>
  </sheets>
  <definedNames>
    <definedName name="_xlnm._FilterDatabase" localSheetId="3" hidden="1">Vendas!$C$4:$F$86</definedName>
    <definedName name="Desc_Categorias">'Cadastros Auxiliares'!$B$8:$E$8</definedName>
    <definedName name="Desc_Quantidades">'Cadastros Auxiliares'!$B$8:$B$13</definedName>
    <definedName name="Desc_TabelaToda">'Cadastros Auxiliares'!$B$8:$E$13</definedName>
    <definedName name="Int_Categoria">TB_Produtos[[#All],[Categoria]]</definedName>
    <definedName name="Int_Codigo">TB_Produtos[[#All],[Código]]</definedName>
    <definedName name="Int_Estoque">TB_Produtos[[#All],[Estoque]]</definedName>
    <definedName name="Int_Nome_Produtos">#REF!</definedName>
    <definedName name="Int_PrecoUnit">TB_Produtos[[#All],[Preço Unitário]]</definedName>
    <definedName name="Int_Produtos">TB_Produtos[[#All],[Produtos]]</definedName>
    <definedName name="Int_Quantidade">#REF!</definedName>
    <definedName name="Int_Tamanho">TB_Produtos[[#All],[Tamanho]]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8" i="24" l="1"/>
  <c r="I5" i="16" l="1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22" i="16"/>
  <c r="E23" i="16"/>
  <c r="E24" i="16"/>
  <c r="E25" i="16"/>
  <c r="E26" i="16"/>
  <c r="E27" i="16"/>
  <c r="E28" i="16"/>
  <c r="E29" i="16"/>
  <c r="E30" i="16"/>
  <c r="E31" i="16"/>
  <c r="E32" i="16"/>
  <c r="E33" i="16"/>
  <c r="E34" i="16"/>
  <c r="E35" i="16"/>
  <c r="E36" i="16"/>
  <c r="E37" i="16"/>
  <c r="E38" i="16"/>
  <c r="E39" i="16"/>
  <c r="E40" i="16"/>
  <c r="E41" i="16"/>
  <c r="E42" i="16"/>
  <c r="E43" i="16"/>
  <c r="E44" i="16"/>
  <c r="E45" i="16"/>
  <c r="E46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60" i="16"/>
  <c r="E61" i="16"/>
  <c r="E62" i="16"/>
  <c r="E63" i="16"/>
  <c r="E64" i="16"/>
  <c r="E65" i="16"/>
  <c r="E66" i="16"/>
  <c r="E67" i="16"/>
  <c r="E68" i="16"/>
  <c r="E69" i="16"/>
  <c r="E70" i="16"/>
  <c r="E71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K67" i="16"/>
  <c r="K68" i="16"/>
  <c r="K69" i="16"/>
  <c r="K70" i="16"/>
  <c r="K71" i="16"/>
  <c r="K72" i="16"/>
  <c r="K73" i="16"/>
  <c r="K74" i="16"/>
  <c r="K75" i="16"/>
  <c r="K76" i="16"/>
  <c r="K77" i="16"/>
  <c r="K78" i="16"/>
  <c r="K79" i="16"/>
  <c r="K80" i="16"/>
  <c r="K81" i="16"/>
  <c r="K82" i="16"/>
  <c r="K83" i="16"/>
  <c r="K84" i="16"/>
  <c r="K85" i="16"/>
  <c r="K86" i="16"/>
  <c r="J5" i="16" a="1"/>
  <c r="J5" i="16" s="1"/>
  <c r="L5" i="16" s="1"/>
  <c r="J6" i="16" a="1"/>
  <c r="J6" i="16" s="1"/>
  <c r="L6" i="16" s="1"/>
  <c r="J7" i="16" a="1"/>
  <c r="J7" i="16" s="1"/>
  <c r="L7" i="16" s="1"/>
  <c r="J8" i="16" a="1"/>
  <c r="J8" i="16" s="1"/>
  <c r="J9" i="16" a="1"/>
  <c r="J9" i="16" s="1"/>
  <c r="J10" i="16" a="1"/>
  <c r="J10" i="16" s="1"/>
  <c r="L10" i="16" s="1"/>
  <c r="J11" i="16" a="1"/>
  <c r="J11" i="16" s="1"/>
  <c r="L11" i="16" s="1"/>
  <c r="J12" i="16" a="1"/>
  <c r="J12" i="16" s="1"/>
  <c r="L12" i="16" s="1"/>
  <c r="J13" i="16" a="1"/>
  <c r="J13" i="16" s="1"/>
  <c r="J14" i="16" a="1"/>
  <c r="J14" i="16" s="1"/>
  <c r="L14" i="16" s="1"/>
  <c r="J15" i="16" a="1"/>
  <c r="J15" i="16" s="1"/>
  <c r="L15" i="16" s="1"/>
  <c r="J16" i="16" a="1"/>
  <c r="J16" i="16" s="1"/>
  <c r="L16" i="16" s="1"/>
  <c r="J17" i="16" a="1"/>
  <c r="J17" i="16" s="1"/>
  <c r="J18" i="16" a="1"/>
  <c r="J18" i="16" s="1"/>
  <c r="J19" i="16" a="1"/>
  <c r="J19" i="16" s="1"/>
  <c r="L19" i="16" s="1"/>
  <c r="J20" i="16" a="1"/>
  <c r="J20" i="16" s="1"/>
  <c r="L20" i="16" s="1"/>
  <c r="J21" i="16" a="1"/>
  <c r="J21" i="16" s="1"/>
  <c r="L21" i="16" s="1"/>
  <c r="J22" i="16" a="1"/>
  <c r="J22" i="16" s="1"/>
  <c r="L22" i="16" s="1"/>
  <c r="J23" i="16" a="1"/>
  <c r="J23" i="16" s="1"/>
  <c r="L23" i="16" s="1"/>
  <c r="J24" i="16" a="1"/>
  <c r="J24" i="16" s="1"/>
  <c r="L24" i="16" s="1"/>
  <c r="J25" i="16" a="1"/>
  <c r="J25" i="16" s="1"/>
  <c r="J26" i="16" a="1"/>
  <c r="J26" i="16" s="1"/>
  <c r="L26" i="16" s="1"/>
  <c r="J27" i="16" a="1"/>
  <c r="J27" i="16" s="1"/>
  <c r="L27" i="16" s="1"/>
  <c r="J28" i="16" a="1"/>
  <c r="J28" i="16" s="1"/>
  <c r="L28" i="16" s="1"/>
  <c r="J29" i="16" a="1"/>
  <c r="J29" i="16" s="1"/>
  <c r="J30" i="16" a="1"/>
  <c r="J30" i="16" s="1"/>
  <c r="L30" i="16" s="1"/>
  <c r="J31" i="16" a="1"/>
  <c r="J31" i="16" s="1"/>
  <c r="L31" i="16" s="1"/>
  <c r="J32" i="16" a="1"/>
  <c r="J32" i="16" s="1"/>
  <c r="L32" i="16" s="1"/>
  <c r="J33" i="16" a="1"/>
  <c r="J33" i="16" s="1"/>
  <c r="J34" i="16" a="1"/>
  <c r="J34" i="16" s="1"/>
  <c r="J35" i="16" a="1"/>
  <c r="J35" i="16" s="1"/>
  <c r="L35" i="16" s="1"/>
  <c r="J36" i="16" a="1"/>
  <c r="J36" i="16" s="1"/>
  <c r="L36" i="16" s="1"/>
  <c r="J37" i="16" a="1"/>
  <c r="J37" i="16" s="1"/>
  <c r="L37" i="16" s="1"/>
  <c r="J38" i="16" a="1"/>
  <c r="J38" i="16" s="1"/>
  <c r="L38" i="16" s="1"/>
  <c r="J39" i="16" a="1"/>
  <c r="J39" i="16" s="1"/>
  <c r="L39" i="16" s="1"/>
  <c r="J40" i="16" a="1"/>
  <c r="J40" i="16" s="1"/>
  <c r="L40" i="16" s="1"/>
  <c r="J41" i="16" a="1"/>
  <c r="J41" i="16" s="1"/>
  <c r="J42" i="16" a="1"/>
  <c r="J42" i="16" s="1"/>
  <c r="L42" i="16" s="1"/>
  <c r="J43" i="16" a="1"/>
  <c r="J43" i="16" s="1"/>
  <c r="L43" i="16" s="1"/>
  <c r="J44" i="16" a="1"/>
  <c r="J44" i="16" s="1"/>
  <c r="L44" i="16" s="1"/>
  <c r="J45" i="16" a="1"/>
  <c r="J45" i="16" s="1"/>
  <c r="J46" i="16" a="1"/>
  <c r="J46" i="16" s="1"/>
  <c r="L46" i="16" s="1"/>
  <c r="J47" i="16" a="1"/>
  <c r="J47" i="16" s="1"/>
  <c r="L47" i="16" s="1"/>
  <c r="J48" i="16" a="1"/>
  <c r="J48" i="16" s="1"/>
  <c r="L48" i="16" s="1"/>
  <c r="J49" i="16" a="1"/>
  <c r="J49" i="16" s="1"/>
  <c r="J50" i="16" a="1"/>
  <c r="J50" i="16" s="1"/>
  <c r="J51" i="16" a="1"/>
  <c r="J51" i="16" s="1"/>
  <c r="L51" i="16" s="1"/>
  <c r="J52" i="16" a="1"/>
  <c r="J52" i="16" s="1"/>
  <c r="L52" i="16" s="1"/>
  <c r="J53" i="16" a="1"/>
  <c r="J53" i="16" s="1"/>
  <c r="L53" i="16" s="1"/>
  <c r="J54" i="16" a="1"/>
  <c r="J54" i="16" s="1"/>
  <c r="L54" i="16" s="1"/>
  <c r="J55" i="16" a="1"/>
  <c r="J55" i="16" s="1"/>
  <c r="L55" i="16" s="1"/>
  <c r="J56" i="16" a="1"/>
  <c r="J56" i="16" s="1"/>
  <c r="L56" i="16" s="1"/>
  <c r="J57" i="16" a="1"/>
  <c r="J57" i="16" s="1"/>
  <c r="L57" i="16" s="1"/>
  <c r="J58" i="16" a="1"/>
  <c r="J58" i="16" s="1"/>
  <c r="L58" i="16" s="1"/>
  <c r="J59" i="16" a="1"/>
  <c r="J59" i="16" s="1"/>
  <c r="L59" i="16" s="1"/>
  <c r="J60" i="16" a="1"/>
  <c r="J60" i="16" s="1"/>
  <c r="L60" i="16" s="1"/>
  <c r="J61" i="16" a="1"/>
  <c r="J61" i="16" s="1"/>
  <c r="J62" i="16" a="1"/>
  <c r="J62" i="16" s="1"/>
  <c r="L62" i="16" s="1"/>
  <c r="J63" i="16" a="1"/>
  <c r="J63" i="16" s="1"/>
  <c r="L63" i="16" s="1"/>
  <c r="J64" i="16" a="1"/>
  <c r="J64" i="16" s="1"/>
  <c r="L64" i="16" s="1"/>
  <c r="J65" i="16" a="1"/>
  <c r="J65" i="16" s="1"/>
  <c r="J66" i="16" a="1"/>
  <c r="J66" i="16" s="1"/>
  <c r="J67" i="16" a="1"/>
  <c r="J67" i="16" s="1"/>
  <c r="L67" i="16" s="1"/>
  <c r="J68" i="16" a="1"/>
  <c r="J68" i="16" s="1"/>
  <c r="L68" i="16" s="1"/>
  <c r="J69" i="16" a="1"/>
  <c r="J69" i="16" s="1"/>
  <c r="L69" i="16" s="1"/>
  <c r="J70" i="16" a="1"/>
  <c r="J70" i="16" s="1"/>
  <c r="L70" i="16" s="1"/>
  <c r="J71" i="16" a="1"/>
  <c r="J71" i="16" s="1"/>
  <c r="L71" i="16" s="1"/>
  <c r="J72" i="16" a="1"/>
  <c r="J72" i="16" s="1"/>
  <c r="L72" i="16" s="1"/>
  <c r="J73" i="16" a="1"/>
  <c r="J73" i="16" s="1"/>
  <c r="L73" i="16" s="1"/>
  <c r="J74" i="16" a="1"/>
  <c r="J74" i="16" s="1"/>
  <c r="L74" i="16" s="1"/>
  <c r="J75" i="16" a="1"/>
  <c r="J75" i="16" s="1"/>
  <c r="L75" i="16" s="1"/>
  <c r="J76" i="16" a="1"/>
  <c r="J76" i="16" s="1"/>
  <c r="L76" i="16" s="1"/>
  <c r="J77" i="16" a="1"/>
  <c r="J77" i="16" s="1"/>
  <c r="J78" i="16" a="1"/>
  <c r="J78" i="16" s="1"/>
  <c r="L78" i="16" s="1"/>
  <c r="J79" i="16" a="1"/>
  <c r="J79" i="16" s="1"/>
  <c r="L79" i="16" s="1"/>
  <c r="J80" i="16" a="1"/>
  <c r="J80" i="16" s="1"/>
  <c r="L80" i="16" s="1"/>
  <c r="J81" i="16" a="1"/>
  <c r="J81" i="16" s="1"/>
  <c r="J82" i="16" a="1"/>
  <c r="J82" i="16" s="1"/>
  <c r="J83" i="16" a="1"/>
  <c r="J83" i="16" s="1"/>
  <c r="L83" i="16" s="1"/>
  <c r="J84" i="16" a="1"/>
  <c r="J84" i="16" s="1"/>
  <c r="L84" i="16" s="1"/>
  <c r="J85" i="16" a="1"/>
  <c r="J85" i="16" s="1"/>
  <c r="L85" i="16" s="1"/>
  <c r="J86" i="16" a="1"/>
  <c r="J86" i="16" s="1"/>
  <c r="L86" i="16" s="1"/>
  <c r="F17" i="23"/>
  <c r="F16" i="23"/>
  <c r="F18" i="23" a="1"/>
  <c r="F18" i="23" s="1"/>
  <c r="C18" i="23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C11" i="24"/>
  <c r="C7" i="24"/>
  <c r="C8" i="24"/>
  <c r="C9" i="24"/>
  <c r="C10" i="24"/>
  <c r="F7" i="24"/>
  <c r="F9" i="24"/>
  <c r="L77" i="16" l="1"/>
  <c r="L61" i="16"/>
  <c r="L45" i="16"/>
  <c r="L29" i="16"/>
  <c r="L13" i="16"/>
  <c r="L41" i="16"/>
  <c r="L25" i="16"/>
  <c r="L9" i="16"/>
  <c r="L8" i="16"/>
  <c r="L81" i="16"/>
  <c r="L65" i="16"/>
  <c r="L49" i="16"/>
  <c r="L82" i="16"/>
  <c r="L66" i="16"/>
  <c r="L50" i="16"/>
  <c r="L34" i="16"/>
  <c r="L18" i="16"/>
  <c r="L33" i="16"/>
  <c r="L17" i="16"/>
  <c r="D17" i="23"/>
  <c r="C12" i="24" a="1"/>
  <c r="C12" i="24" s="1"/>
  <c r="C13" i="24"/>
  <c r="M68" i="16"/>
  <c r="M76" i="16"/>
  <c r="A76" i="16"/>
  <c r="B76" i="16" s="1"/>
  <c r="A77" i="16"/>
  <c r="B77" i="16" s="1"/>
  <c r="A78" i="16"/>
  <c r="B78" i="16" s="1"/>
  <c r="A79" i="16"/>
  <c r="B79" i="16" s="1"/>
  <c r="A80" i="16"/>
  <c r="B80" i="16" s="1"/>
  <c r="A81" i="16"/>
  <c r="B81" i="16" s="1"/>
  <c r="A82" i="16"/>
  <c r="B82" i="16" s="1"/>
  <c r="A83" i="16"/>
  <c r="B83" i="16" s="1"/>
  <c r="A84" i="16"/>
  <c r="B84" i="16" s="1"/>
  <c r="A85" i="16"/>
  <c r="B85" i="16" s="1"/>
  <c r="A86" i="16"/>
  <c r="B86" i="16" s="1"/>
  <c r="A65" i="16"/>
  <c r="B65" i="16" s="1"/>
  <c r="A66" i="16"/>
  <c r="B66" i="16" s="1"/>
  <c r="A67" i="16"/>
  <c r="B67" i="16" s="1"/>
  <c r="A68" i="16"/>
  <c r="B68" i="16" s="1"/>
  <c r="A69" i="16"/>
  <c r="B69" i="16" s="1"/>
  <c r="A70" i="16"/>
  <c r="B70" i="16" s="1"/>
  <c r="A71" i="16"/>
  <c r="B71" i="16" s="1"/>
  <c r="A72" i="16"/>
  <c r="B72" i="16" s="1"/>
  <c r="A73" i="16"/>
  <c r="B73" i="16" s="1"/>
  <c r="A74" i="16"/>
  <c r="B74" i="16" s="1"/>
  <c r="A75" i="16"/>
  <c r="B75" i="16" s="1"/>
  <c r="A64" i="16"/>
  <c r="B64" i="16" s="1"/>
  <c r="A5" i="16"/>
  <c r="B5" i="16" s="1"/>
  <c r="M83" i="16" l="1"/>
  <c r="M75" i="16"/>
  <c r="M73" i="16"/>
  <c r="M65" i="16"/>
  <c r="M64" i="16"/>
  <c r="M79" i="16"/>
  <c r="M71" i="16"/>
  <c r="M80" i="16"/>
  <c r="M72" i="16"/>
  <c r="M84" i="16"/>
  <c r="M67" i="16"/>
  <c r="M82" i="16"/>
  <c r="M74" i="16"/>
  <c r="M66" i="16"/>
  <c r="M86" i="16"/>
  <c r="M78" i="16"/>
  <c r="M70" i="16"/>
  <c r="M85" i="16"/>
  <c r="M77" i="16"/>
  <c r="M69" i="16"/>
  <c r="M81" i="16"/>
  <c r="M5" i="16" l="1"/>
  <c r="M6" i="16"/>
  <c r="M7" i="16"/>
  <c r="M8" i="16"/>
  <c r="M9" i="16"/>
  <c r="M10" i="16"/>
  <c r="M11" i="16"/>
  <c r="M12" i="16"/>
  <c r="M13" i="16"/>
  <c r="M14" i="16"/>
  <c r="M15" i="16"/>
  <c r="M16" i="16"/>
  <c r="M17" i="16"/>
  <c r="M18" i="16"/>
  <c r="M19" i="16"/>
  <c r="M20" i="16"/>
  <c r="M21" i="16"/>
  <c r="M22" i="16"/>
  <c r="M23" i="16"/>
  <c r="M24" i="16"/>
  <c r="M25" i="16"/>
  <c r="M26" i="16"/>
  <c r="M27" i="16"/>
  <c r="M28" i="16"/>
  <c r="M29" i="16"/>
  <c r="M30" i="16"/>
  <c r="M31" i="16"/>
  <c r="M32" i="16"/>
  <c r="M33" i="16"/>
  <c r="M34" i="16"/>
  <c r="M35" i="16"/>
  <c r="M36" i="16"/>
  <c r="M37" i="16"/>
  <c r="M38" i="16"/>
  <c r="M39" i="16"/>
  <c r="M40" i="16"/>
  <c r="M41" i="16"/>
  <c r="M42" i="16"/>
  <c r="M43" i="16"/>
  <c r="M44" i="16"/>
  <c r="M45" i="16"/>
  <c r="M46" i="16"/>
  <c r="M47" i="16"/>
  <c r="M48" i="16"/>
  <c r="M49" i="16"/>
  <c r="M50" i="16"/>
  <c r="M51" i="16"/>
  <c r="M52" i="16"/>
  <c r="M53" i="16"/>
  <c r="M54" i="16"/>
  <c r="M55" i="16"/>
  <c r="M56" i="16"/>
  <c r="M57" i="16"/>
  <c r="M58" i="16"/>
  <c r="M59" i="16"/>
  <c r="M60" i="16"/>
  <c r="M61" i="16"/>
  <c r="M62" i="16"/>
  <c r="M63" i="16"/>
  <c r="B4" i="19" l="1"/>
  <c r="B2" i="19"/>
  <c r="L3" i="19"/>
  <c r="L2" i="19"/>
  <c r="B3" i="19"/>
  <c r="L4" i="19"/>
  <c r="BK4" i="18"/>
  <c r="AQ4" i="18"/>
  <c r="W4" i="18"/>
  <c r="J4" i="19" l="1"/>
  <c r="K4" i="19" s="1"/>
  <c r="J2" i="19"/>
  <c r="K2" i="19" s="1"/>
  <c r="J3" i="19"/>
  <c r="K3" i="19" s="1"/>
  <c r="A23" i="16" l="1"/>
  <c r="B23" i="16" s="1"/>
  <c r="A24" i="16"/>
  <c r="B24" i="16" s="1"/>
  <c r="A25" i="16"/>
  <c r="B25" i="16" s="1"/>
  <c r="A26" i="16"/>
  <c r="B26" i="16" s="1"/>
  <c r="A27" i="16"/>
  <c r="B27" i="16" s="1"/>
  <c r="A28" i="16"/>
  <c r="B28" i="16" s="1"/>
  <c r="A29" i="16"/>
  <c r="B29" i="16" s="1"/>
  <c r="A30" i="16"/>
  <c r="B30" i="16" s="1"/>
  <c r="A31" i="16"/>
  <c r="B31" i="16" s="1"/>
  <c r="A32" i="16"/>
  <c r="B32" i="16" s="1"/>
  <c r="A33" i="16"/>
  <c r="B33" i="16" s="1"/>
  <c r="A34" i="16"/>
  <c r="B34" i="16" s="1"/>
  <c r="A35" i="16"/>
  <c r="B35" i="16" s="1"/>
  <c r="A36" i="16"/>
  <c r="B36" i="16" s="1"/>
  <c r="A37" i="16"/>
  <c r="B37" i="16" s="1"/>
  <c r="A38" i="16"/>
  <c r="B38" i="16" s="1"/>
  <c r="A39" i="16"/>
  <c r="B39" i="16" s="1"/>
  <c r="A40" i="16"/>
  <c r="B40" i="16" s="1"/>
  <c r="A41" i="16"/>
  <c r="B41" i="16" s="1"/>
  <c r="A42" i="16"/>
  <c r="B42" i="16" s="1"/>
  <c r="A43" i="16"/>
  <c r="B43" i="16" s="1"/>
  <c r="A44" i="16"/>
  <c r="B44" i="16" s="1"/>
  <c r="A45" i="16"/>
  <c r="B45" i="16" s="1"/>
  <c r="A46" i="16"/>
  <c r="B46" i="16" s="1"/>
  <c r="A47" i="16"/>
  <c r="B47" i="16" s="1"/>
  <c r="A48" i="16"/>
  <c r="B48" i="16" s="1"/>
  <c r="A49" i="16"/>
  <c r="B49" i="16" s="1"/>
  <c r="A50" i="16"/>
  <c r="B50" i="16" s="1"/>
  <c r="A51" i="16"/>
  <c r="B51" i="16" s="1"/>
  <c r="A52" i="16"/>
  <c r="B52" i="16" s="1"/>
  <c r="A53" i="16"/>
  <c r="B53" i="16" s="1"/>
  <c r="A54" i="16"/>
  <c r="B54" i="16" s="1"/>
  <c r="A55" i="16"/>
  <c r="B55" i="16" s="1"/>
  <c r="A56" i="16"/>
  <c r="B56" i="16" s="1"/>
  <c r="A57" i="16"/>
  <c r="B57" i="16" s="1"/>
  <c r="A58" i="16"/>
  <c r="B58" i="16" s="1"/>
  <c r="A59" i="16"/>
  <c r="B59" i="16" s="1"/>
  <c r="A60" i="16"/>
  <c r="B60" i="16" s="1"/>
  <c r="A61" i="16"/>
  <c r="B61" i="16" s="1"/>
  <c r="A62" i="16"/>
  <c r="B62" i="16" s="1"/>
  <c r="A63" i="16"/>
  <c r="B63" i="16" s="1"/>
  <c r="A6" i="16"/>
  <c r="B6" i="16" s="1"/>
  <c r="A7" i="16"/>
  <c r="B7" i="16" s="1"/>
  <c r="A8" i="16"/>
  <c r="B8" i="16" s="1"/>
  <c r="A9" i="16"/>
  <c r="B9" i="16" s="1"/>
  <c r="A10" i="16"/>
  <c r="B10" i="16" s="1"/>
  <c r="A11" i="16"/>
  <c r="B11" i="16" s="1"/>
  <c r="A12" i="16"/>
  <c r="B12" i="16" s="1"/>
  <c r="A13" i="16"/>
  <c r="B13" i="16" s="1"/>
  <c r="A14" i="16"/>
  <c r="B14" i="16" s="1"/>
  <c r="A15" i="16"/>
  <c r="B15" i="16" s="1"/>
  <c r="A16" i="16"/>
  <c r="B16" i="16" s="1"/>
  <c r="A17" i="16"/>
  <c r="B17" i="16" s="1"/>
  <c r="A18" i="16"/>
  <c r="B18" i="16" s="1"/>
  <c r="A19" i="16"/>
  <c r="B19" i="16" s="1"/>
  <c r="A20" i="16"/>
  <c r="B20" i="16" s="1"/>
  <c r="A21" i="16"/>
  <c r="B21" i="16" s="1"/>
  <c r="A22" i="16"/>
  <c r="B22" i="16" s="1"/>
  <c r="G3" i="19" l="1"/>
  <c r="G4" i="19"/>
  <c r="G5" i="19"/>
  <c r="G6" i="19"/>
  <c r="G7" i="19"/>
  <c r="G2" i="19"/>
  <c r="F3" i="19"/>
  <c r="F4" i="19"/>
  <c r="F6" i="19"/>
  <c r="F7" i="19"/>
  <c r="F2" i="19"/>
  <c r="F5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Samir Oliveira</author>
  </authors>
  <commentList>
    <comment ref="C6" authorId="0" shapeId="0" xr:uid="{8486D932-1291-4212-AA72-D9D3806A5484}">
      <text>
        <r>
          <rPr>
            <b/>
            <sz val="9"/>
            <color indexed="81"/>
            <rFont val="Segoe UI"/>
            <family val="2"/>
          </rPr>
          <t>Samir Oliveira:</t>
        </r>
        <r>
          <rPr>
            <sz val="9"/>
            <color indexed="81"/>
            <rFont val="Segoe UI"/>
            <family val="2"/>
          </rPr>
          <t xml:space="preserve">
Para os testes de Formatção Condicional.
Cod.
PRO46
PRO19
PRO59</t>
        </r>
      </text>
    </comment>
    <comment ref="C12" authorId="0" shapeId="0" xr:uid="{262BCAC1-9677-43B4-9756-06FB40DF909D}">
      <text>
        <r>
          <rPr>
            <b/>
            <sz val="9"/>
            <color indexed="81"/>
            <rFont val="Segoe UI"/>
            <family val="2"/>
          </rPr>
          <t>Samir Oliveira:</t>
        </r>
        <r>
          <rPr>
            <sz val="9"/>
            <color indexed="81"/>
            <rFont val="Segoe UI"/>
            <family val="2"/>
          </rPr>
          <t xml:space="preserve">
=SES($C$11=0;"Zerou o Estoque";$C$11&gt;=10;"Estoque em Dia";1;"Rever o Estoque")
</t>
        </r>
        <r>
          <rPr>
            <b/>
            <sz val="9"/>
            <color indexed="81"/>
            <rFont val="Segoe UI"/>
            <family val="2"/>
          </rPr>
          <t>Com o Estoque Mínimo:</t>
        </r>
        <r>
          <rPr>
            <sz val="9"/>
            <color indexed="81"/>
            <rFont val="Segoe UI"/>
            <family val="2"/>
          </rPr>
          <t xml:space="preserve">
=SES($C$11=0;"Zerou o Estoque";$C$11&gt;PROCX(C9;'Cadastros Auxiliares'!G9:G11;'Cadastros Auxiliares'!H9:H11;"");"Estoque em Dia";1;"Rever o Estoque")</t>
        </r>
      </text>
    </comment>
    <comment ref="C13" authorId="0" shapeId="0" xr:uid="{F1BCBEAB-40F1-4E9F-A8B8-11B0158E86C9}">
      <text>
        <r>
          <rPr>
            <b/>
            <sz val="9"/>
            <color indexed="81"/>
            <rFont val="Segoe UI"/>
            <family val="2"/>
          </rPr>
          <t>Samir Oliveira:</t>
        </r>
        <r>
          <rPr>
            <sz val="9"/>
            <color indexed="81"/>
            <rFont val="Segoe UI"/>
            <family val="2"/>
          </rPr>
          <t xml:space="preserve">
=SE(C11&gt;=10;"Estoque OK";SE(C11=0;"Estoque Zerado";"Estoque Baixo"))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<sst xmlns="http://schemas.openxmlformats.org/spreadsheetml/2006/main" count="504" uniqueCount="176">
  <si>
    <t>Produtos</t>
  </si>
  <si>
    <t>Tamanho</t>
  </si>
  <si>
    <t>P</t>
  </si>
  <si>
    <t>M</t>
  </si>
  <si>
    <t>G</t>
  </si>
  <si>
    <t>Bermuda</t>
  </si>
  <si>
    <t>Boné</t>
  </si>
  <si>
    <t>Cinto</t>
  </si>
  <si>
    <t>Único</t>
  </si>
  <si>
    <t>Camiseta Lisa</t>
  </si>
  <si>
    <t>Categoria</t>
  </si>
  <si>
    <t>Preço Unitário</t>
  </si>
  <si>
    <t>Vestuário</t>
  </si>
  <si>
    <t>Acessórios</t>
  </si>
  <si>
    <t>Calçado</t>
  </si>
  <si>
    <t>Qtd</t>
  </si>
  <si>
    <t>Total</t>
  </si>
  <si>
    <t xml:space="preserve">Camiseta Lisa </t>
  </si>
  <si>
    <t>Camiseta Estampada</t>
  </si>
  <si>
    <t>Óculos redondo</t>
  </si>
  <si>
    <t>Óculos quadrado</t>
  </si>
  <si>
    <t>Jaqueta jeans</t>
  </si>
  <si>
    <t>Jaqueta couro</t>
  </si>
  <si>
    <t>Calça jeans</t>
  </si>
  <si>
    <t>Vestido longo</t>
  </si>
  <si>
    <t>Vestido curto</t>
  </si>
  <si>
    <t>Calça legging</t>
  </si>
  <si>
    <t>Tênis Atitas</t>
  </si>
  <si>
    <t>Bolsa de couro</t>
  </si>
  <si>
    <t>Bolsa coringa</t>
  </si>
  <si>
    <t>Código</t>
  </si>
  <si>
    <t>Mês</t>
  </si>
  <si>
    <t>PR001</t>
  </si>
  <si>
    <t>PR002</t>
  </si>
  <si>
    <t>PR003</t>
  </si>
  <si>
    <t>PR004</t>
  </si>
  <si>
    <t>PR005</t>
  </si>
  <si>
    <t>PR006</t>
  </si>
  <si>
    <t>PR007</t>
  </si>
  <si>
    <t>PR008</t>
  </si>
  <si>
    <t>PR009</t>
  </si>
  <si>
    <t>PR010</t>
  </si>
  <si>
    <t>PR011</t>
  </si>
  <si>
    <t>PR012</t>
  </si>
  <si>
    <t>PR013</t>
  </si>
  <si>
    <t>PR014</t>
  </si>
  <si>
    <t>PR015</t>
  </si>
  <si>
    <t>PR016</t>
  </si>
  <si>
    <t>PR017</t>
  </si>
  <si>
    <t>PR018</t>
  </si>
  <si>
    <t>PR019</t>
  </si>
  <si>
    <t>PR020</t>
  </si>
  <si>
    <t>PR021</t>
  </si>
  <si>
    <t>PR022</t>
  </si>
  <si>
    <t>PR023</t>
  </si>
  <si>
    <t>PR024</t>
  </si>
  <si>
    <t>PR025</t>
  </si>
  <si>
    <t>PR026</t>
  </si>
  <si>
    <t>PR027</t>
  </si>
  <si>
    <t>PR028</t>
  </si>
  <si>
    <t>PR029</t>
  </si>
  <si>
    <t>PR030</t>
  </si>
  <si>
    <t>PR031</t>
  </si>
  <si>
    <t>PR032</t>
  </si>
  <si>
    <t>PR033</t>
  </si>
  <si>
    <t>PR034</t>
  </si>
  <si>
    <t>PR035</t>
  </si>
  <si>
    <t>PR036</t>
  </si>
  <si>
    <t>PR037</t>
  </si>
  <si>
    <t>PR038</t>
  </si>
  <si>
    <t>PR039</t>
  </si>
  <si>
    <t>Calçados</t>
  </si>
  <si>
    <t>Clara</t>
  </si>
  <si>
    <t>João</t>
  </si>
  <si>
    <t>Vendedor</t>
  </si>
  <si>
    <t>Sarah</t>
  </si>
  <si>
    <t>Data</t>
  </si>
  <si>
    <t>Estoque</t>
  </si>
  <si>
    <t>Total de Produtos</t>
  </si>
  <si>
    <t>Produtos Vendidos</t>
  </si>
  <si>
    <t>Total de Vendas</t>
  </si>
  <si>
    <t>Vendas Mensais</t>
  </si>
  <si>
    <t>Vendas por Categoria</t>
  </si>
  <si>
    <t>Ranking Vendedores</t>
  </si>
  <si>
    <t>Vendedores</t>
  </si>
  <si>
    <t>Totais</t>
  </si>
  <si>
    <t>Meses</t>
  </si>
  <si>
    <t>N. Mês</t>
  </si>
  <si>
    <t>Jan</t>
  </si>
  <si>
    <t>Fev</t>
  </si>
  <si>
    <t>Mar</t>
  </si>
  <si>
    <t>Abr</t>
  </si>
  <si>
    <t>Mai</t>
  </si>
  <si>
    <t>Jun</t>
  </si>
  <si>
    <t>% Restante</t>
  </si>
  <si>
    <t>% Vendas</t>
  </si>
  <si>
    <t>PR040</t>
  </si>
  <si>
    <t>PR041</t>
  </si>
  <si>
    <t>PR042</t>
  </si>
  <si>
    <t>PR043</t>
  </si>
  <si>
    <t>Vestido Floral</t>
  </si>
  <si>
    <t>PR044</t>
  </si>
  <si>
    <t>PR045</t>
  </si>
  <si>
    <t>PR046</t>
  </si>
  <si>
    <t>Jaqueta de Couro</t>
  </si>
  <si>
    <t>PR047</t>
  </si>
  <si>
    <t>PR048</t>
  </si>
  <si>
    <t>PR049</t>
  </si>
  <si>
    <t>Camiseta Listrada</t>
  </si>
  <si>
    <t>PR050</t>
  </si>
  <si>
    <t>PR051</t>
  </si>
  <si>
    <t>PR052</t>
  </si>
  <si>
    <t>Saia Plissada</t>
  </si>
  <si>
    <t>PR053</t>
  </si>
  <si>
    <t>PR054</t>
  </si>
  <si>
    <t>PR055</t>
  </si>
  <si>
    <t>PR056</t>
  </si>
  <si>
    <t>Sandália Rasteira</t>
  </si>
  <si>
    <t>PR057</t>
  </si>
  <si>
    <t>PR058</t>
  </si>
  <si>
    <t>Camiseta Conforto</t>
  </si>
  <si>
    <t>Calça Alfaiataria</t>
  </si>
  <si>
    <t>PR059</t>
  </si>
  <si>
    <t>PR060</t>
  </si>
  <si>
    <t>Tênis Chunky</t>
  </si>
  <si>
    <t>Nº</t>
  </si>
  <si>
    <t>VD001</t>
  </si>
  <si>
    <t>VD002</t>
  </si>
  <si>
    <t>VD003</t>
  </si>
  <si>
    <t>VD004</t>
  </si>
  <si>
    <t>VD005</t>
  </si>
  <si>
    <t>Amanda</t>
  </si>
  <si>
    <t>Bruno</t>
  </si>
  <si>
    <t>Controle de Produtos</t>
  </si>
  <si>
    <t>Vendas</t>
  </si>
  <si>
    <t>Cadastros Gerais</t>
  </si>
  <si>
    <t>Dia da Semana</t>
  </si>
  <si>
    <t>Domingo</t>
  </si>
  <si>
    <t>Segunda-feira</t>
  </si>
  <si>
    <t>Terça-feira</t>
  </si>
  <si>
    <t>Quarta-feira</t>
  </si>
  <si>
    <t>Quinta-feira</t>
  </si>
  <si>
    <t>Sexta-feira</t>
  </si>
  <si>
    <t>Sábado</t>
  </si>
  <si>
    <t>Consultas</t>
  </si>
  <si>
    <t>Cidade</t>
  </si>
  <si>
    <t>Desc. Máximo</t>
  </si>
  <si>
    <t>São Paulo</t>
  </si>
  <si>
    <t>Rio de Janeiro</t>
  </si>
  <si>
    <t>Natal</t>
  </si>
  <si>
    <t>Manaus</t>
  </si>
  <si>
    <t>Belo Horizonte</t>
  </si>
  <si>
    <t>Desconto por Categoria e Qtd</t>
  </si>
  <si>
    <t>Consulta Produto</t>
  </si>
  <si>
    <t xml:space="preserve">Código: </t>
  </si>
  <si>
    <t xml:space="preserve">Descrição: </t>
  </si>
  <si>
    <t xml:space="preserve">Tamanho: </t>
  </si>
  <si>
    <t xml:space="preserve">Categoria: </t>
  </si>
  <si>
    <t xml:space="preserve">Estoque: </t>
  </si>
  <si>
    <t xml:space="preserve">Data: </t>
  </si>
  <si>
    <t>Vendas do Dia</t>
  </si>
  <si>
    <t xml:space="preserve">Total Qtd: </t>
  </si>
  <si>
    <t xml:space="preserve">Dia da Semana: </t>
  </si>
  <si>
    <t xml:space="preserve">Total Valor: </t>
  </si>
  <si>
    <t xml:space="preserve">Preço Unitário: </t>
  </si>
  <si>
    <t>Estoque Mínimo</t>
  </si>
  <si>
    <t xml:space="preserve">1º Situação: </t>
  </si>
  <si>
    <t xml:space="preserve">2º Situação: </t>
  </si>
  <si>
    <t xml:space="preserve"> </t>
  </si>
  <si>
    <t>Coluna</t>
  </si>
  <si>
    <t>Linha</t>
  </si>
  <si>
    <t>Índece</t>
  </si>
  <si>
    <t>Desconto 
(Passo a Passo)</t>
  </si>
  <si>
    <t>Desconto 
(Diretão)</t>
  </si>
  <si>
    <t>Desconto 
(Vendedor)</t>
  </si>
  <si>
    <t>Desconto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</si>
</sst>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-[$R$-416]\ * #,##0.00_-;\-[$R$-416]\ * #,##0.00_-;_-[$R$-416]\ * &quot;-&quot;??_-;_-@_-"/>
  </numFmts>
  <fonts count="30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Montserrat"/>
    </font>
    <font>
      <b/>
      <sz val="16"/>
      <color rgb="FFDAFF01"/>
      <name val="Montserrat"/>
    </font>
    <font>
      <sz val="16"/>
      <color theme="1"/>
      <name val="Montserrat"/>
    </font>
    <font>
      <b/>
      <sz val="26"/>
      <color theme="1"/>
      <name val="Montserrat"/>
    </font>
    <font>
      <b/>
      <sz val="24"/>
      <color theme="1"/>
      <name val="Montserrat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Montserrat"/>
    </font>
    <font>
      <b/>
      <sz val="12"/>
      <color theme="0"/>
      <name val="Montserrat"/>
    </font>
    <font>
      <b/>
      <sz val="14"/>
      <color theme="0" tint="-4.9989318521683403E-2"/>
      <name val="Montserrat"/>
    </font>
    <font>
      <b/>
      <sz val="11"/>
      <color theme="1"/>
      <name val="Montserrat"/>
    </font>
    <font>
      <b/>
      <sz val="12"/>
      <color theme="0" tint="-4.9989318521683403E-2"/>
      <name val="Montserrat"/>
    </font>
    <font>
      <b/>
      <sz val="16"/>
      <color theme="1"/>
      <name val="MuseoModerno"/>
    </font>
    <font>
      <b/>
      <sz val="12"/>
      <color theme="1"/>
      <name val="Montserrat"/>
    </font>
    <font>
      <b/>
      <sz val="12"/>
      <color theme="1"/>
      <name val="MuseoModerno"/>
    </font>
    <font>
      <u/>
      <sz val="11"/>
      <color theme="10"/>
      <name val="Calibri"/>
      <family val="2"/>
      <scheme val="minor"/>
    </font>
    <font>
      <u/>
      <sz val="11"/>
      <name val="Calibri"/>
      <family val="2"/>
      <scheme val="minor"/>
    </font>
    <font>
      <b/>
      <sz val="18"/>
      <color theme="1"/>
      <name val="MuseoModerno"/>
    </font>
    <font>
      <b/>
      <sz val="14"/>
      <color theme="1"/>
      <name val="Montserrat"/>
    </font>
    <font>
      <b/>
      <sz val="18"/>
      <color rgb="FFDAFF01"/>
      <name val="Calibri"/>
      <family val="2"/>
      <scheme val="minor"/>
    </font>
    <font>
      <sz val="18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0"/>
      <color theme="0"/>
      <name val="Montserrat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DAFF0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7"/>
      </patternFill>
    </fill>
    <fill>
      <patternFill patternType="solid">
        <fgColor theme="1"/>
        <bgColor theme="1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theme="0"/>
      </bottom>
      <diagonal/>
    </border>
    <border>
      <left style="medium">
        <color indexed="64"/>
      </left>
      <right style="medium">
        <color indexed="64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theme="0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theme="0"/>
      </left>
      <right style="thick">
        <color theme="0"/>
      </right>
      <top/>
      <bottom/>
      <diagonal/>
    </border>
  </borders>
  <cellStyleXfs count="8">
    <xf numFmtId="0" fontId="0" fillId="0" borderId="0"/>
    <xf numFmtId="0" fontId="3" fillId="5" borderId="0" applyNumberFormat="0" applyBorder="0" applyAlignment="0" applyProtection="0"/>
    <xf numFmtId="0" fontId="4" fillId="3" borderId="0" applyNumberFormat="0" applyBorder="0" applyAlignment="0" applyProtection="0">
      <alignment horizontal="center"/>
    </xf>
    <xf numFmtId="0" fontId="2" fillId="4" borderId="7" applyNumberFormat="0" applyBorder="0" applyAlignment="0" applyProtection="0">
      <alignment horizontal="center"/>
    </xf>
    <xf numFmtId="16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1" fillId="0" borderId="0" applyNumberFormat="0" applyFill="0" applyBorder="0" applyAlignment="0" applyProtection="0"/>
    <xf numFmtId="43" fontId="5" fillId="0" borderId="0" applyFont="0" applyFill="0" applyBorder="0" applyAlignment="0" applyProtection="0"/>
  </cellStyleXfs>
  <cellXfs count="13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0" fillId="0" borderId="5" xfId="0" applyBorder="1"/>
    <xf numFmtId="165" fontId="0" fillId="0" borderId="1" xfId="0" applyNumberFormat="1" applyBorder="1"/>
    <xf numFmtId="165" fontId="0" fillId="0" borderId="5" xfId="0" applyNumberFormat="1" applyBorder="1"/>
    <xf numFmtId="165" fontId="0" fillId="0" borderId="0" xfId="0" applyNumberFormat="1"/>
    <xf numFmtId="1" fontId="0" fillId="0" borderId="0" xfId="0" applyNumberFormat="1" applyAlignment="1">
      <alignment horizontal="center"/>
    </xf>
    <xf numFmtId="0" fontId="2" fillId="2" borderId="0" xfId="3" applyFill="1" applyBorder="1" applyAlignment="1">
      <alignment horizontal="center"/>
    </xf>
    <xf numFmtId="0" fontId="6" fillId="0" borderId="0" xfId="0" applyFont="1"/>
    <xf numFmtId="0" fontId="8" fillId="0" borderId="0" xfId="0" applyFont="1"/>
    <xf numFmtId="0" fontId="11" fillId="0" borderId="0" xfId="0" applyFont="1"/>
    <xf numFmtId="0" fontId="11" fillId="0" borderId="16" xfId="0" applyFont="1" applyBorder="1"/>
    <xf numFmtId="0" fontId="11" fillId="0" borderId="17" xfId="0" applyFont="1" applyBorder="1"/>
    <xf numFmtId="165" fontId="0" fillId="0" borderId="3" xfId="0" applyNumberFormat="1" applyBorder="1"/>
    <xf numFmtId="165" fontId="0" fillId="0" borderId="6" xfId="0" applyNumberFormat="1" applyBorder="1"/>
    <xf numFmtId="0" fontId="11" fillId="0" borderId="18" xfId="0" applyFont="1" applyBorder="1"/>
    <xf numFmtId="0" fontId="0" fillId="0" borderId="3" xfId="0" applyBorder="1"/>
    <xf numFmtId="0" fontId="0" fillId="0" borderId="6" xfId="0" applyBorder="1"/>
    <xf numFmtId="0" fontId="11" fillId="0" borderId="16" xfId="0" applyFont="1" applyBorder="1" applyAlignment="1">
      <alignment horizontal="center"/>
    </xf>
    <xf numFmtId="0" fontId="11" fillId="0" borderId="17" xfId="0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10" fontId="0" fillId="0" borderId="20" xfId="5" applyNumberFormat="1" applyFont="1" applyBorder="1" applyAlignment="1">
      <alignment horizontal="center" vertical="center"/>
    </xf>
    <xf numFmtId="10" fontId="0" fillId="0" borderId="21" xfId="5" applyNumberFormat="1" applyFont="1" applyBorder="1" applyAlignment="1">
      <alignment horizontal="center" vertical="center"/>
    </xf>
    <xf numFmtId="9" fontId="0" fillId="0" borderId="20" xfId="5" applyFont="1" applyBorder="1" applyAlignment="1">
      <alignment horizontal="center" vertical="center"/>
    </xf>
    <xf numFmtId="9" fontId="0" fillId="0" borderId="21" xfId="5" applyFont="1" applyBorder="1" applyAlignment="1">
      <alignment horizontal="center" vertical="center"/>
    </xf>
    <xf numFmtId="0" fontId="11" fillId="0" borderId="0" xfId="0" applyFont="1" applyAlignment="1">
      <alignment horizontal="center"/>
    </xf>
    <xf numFmtId="9" fontId="0" fillId="0" borderId="0" xfId="5" applyFont="1" applyBorder="1" applyAlignment="1">
      <alignment horizontal="center" vertical="center"/>
    </xf>
    <xf numFmtId="10" fontId="0" fillId="0" borderId="0" xfId="5" applyNumberFormat="1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0" fillId="3" borderId="0" xfId="0" applyFill="1"/>
    <xf numFmtId="0" fontId="0" fillId="7" borderId="0" xfId="0" applyFill="1"/>
    <xf numFmtId="0" fontId="1" fillId="0" borderId="0" xfId="0" applyFont="1" applyAlignment="1">
      <alignment horizontal="center"/>
    </xf>
    <xf numFmtId="0" fontId="18" fillId="3" borderId="0" xfId="0" applyFont="1" applyFill="1"/>
    <xf numFmtId="0" fontId="1" fillId="7" borderId="0" xfId="0" applyFont="1" applyFill="1" applyAlignment="1">
      <alignment horizontal="center"/>
    </xf>
    <xf numFmtId="0" fontId="20" fillId="3" borderId="0" xfId="0" applyFont="1" applyFill="1" applyAlignment="1">
      <alignment vertical="center"/>
    </xf>
    <xf numFmtId="0" fontId="22" fillId="0" borderId="0" xfId="6" applyFont="1" applyFill="1" applyAlignment="1">
      <alignment horizontal="center"/>
    </xf>
    <xf numFmtId="0" fontId="23" fillId="3" borderId="0" xfId="0" applyFont="1" applyFill="1" applyAlignment="1">
      <alignment vertical="center"/>
    </xf>
    <xf numFmtId="0" fontId="24" fillId="7" borderId="26" xfId="0" applyFont="1" applyFill="1" applyBorder="1" applyAlignment="1">
      <alignment horizontal="center" vertical="center"/>
    </xf>
    <xf numFmtId="0" fontId="0" fillId="0" borderId="0" xfId="0" applyAlignment="1">
      <alignment horizontal="right"/>
    </xf>
    <xf numFmtId="0" fontId="24" fillId="7" borderId="27" xfId="0" applyFont="1" applyFill="1" applyBorder="1" applyAlignment="1">
      <alignment horizontal="center" vertical="center"/>
    </xf>
    <xf numFmtId="0" fontId="15" fillId="2" borderId="24" xfId="3" applyFont="1" applyFill="1" applyBorder="1" applyAlignment="1">
      <alignment horizontal="center" vertical="center"/>
    </xf>
    <xf numFmtId="1" fontId="16" fillId="0" borderId="7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9" fontId="16" fillId="0" borderId="7" xfId="5" applyFont="1" applyBorder="1" applyAlignment="1">
      <alignment horizontal="center" vertical="center"/>
    </xf>
    <xf numFmtId="0" fontId="15" fillId="2" borderId="31" xfId="3" applyFont="1" applyFill="1" applyBorder="1" applyAlignment="1">
      <alignment horizontal="center" vertical="center" wrapText="1"/>
    </xf>
    <xf numFmtId="0" fontId="15" fillId="2" borderId="31" xfId="3" applyFont="1" applyFill="1" applyBorder="1" applyAlignment="1">
      <alignment horizontal="center" vertical="center"/>
    </xf>
    <xf numFmtId="9" fontId="16" fillId="0" borderId="31" xfId="5" applyFont="1" applyBorder="1" applyAlignment="1">
      <alignment horizontal="center" vertical="center"/>
    </xf>
    <xf numFmtId="0" fontId="18" fillId="3" borderId="0" xfId="0" applyFont="1" applyFill="1" applyAlignment="1">
      <alignment vertical="center"/>
    </xf>
    <xf numFmtId="165" fontId="24" fillId="7" borderId="26" xfId="0" applyNumberFormat="1" applyFont="1" applyFill="1" applyBorder="1" applyAlignment="1">
      <alignment horizontal="center" vertical="center"/>
    </xf>
    <xf numFmtId="0" fontId="1" fillId="0" borderId="0" xfId="0" applyFont="1"/>
    <xf numFmtId="0" fontId="26" fillId="0" borderId="0" xfId="0" applyFont="1"/>
    <xf numFmtId="0" fontId="23" fillId="3" borderId="0" xfId="0" applyFont="1" applyFill="1" applyAlignment="1">
      <alignment horizontal="center" vertical="center"/>
    </xf>
    <xf numFmtId="0" fontId="17" fillId="2" borderId="28" xfId="3" applyFont="1" applyFill="1" applyBorder="1" applyAlignment="1">
      <alignment horizontal="right" vertical="center"/>
    </xf>
    <xf numFmtId="0" fontId="17" fillId="2" borderId="11" xfId="3" applyFont="1" applyFill="1" applyBorder="1" applyAlignment="1">
      <alignment horizontal="right" vertical="center"/>
    </xf>
    <xf numFmtId="0" fontId="17" fillId="2" borderId="29" xfId="3" applyFont="1" applyFill="1" applyBorder="1" applyAlignment="1">
      <alignment horizontal="right" vertical="center"/>
    </xf>
    <xf numFmtId="0" fontId="17" fillId="2" borderId="13" xfId="3" applyFont="1" applyFill="1" applyBorder="1" applyAlignment="1">
      <alignment horizontal="right" vertical="center"/>
    </xf>
    <xf numFmtId="0" fontId="0" fillId="0" borderId="0" xfId="0" quotePrefix="1"/>
    <xf numFmtId="0" fontId="16" fillId="0" borderId="31" xfId="7" applyNumberFormat="1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vertical="center"/>
    </xf>
    <xf numFmtId="44" fontId="0" fillId="0" borderId="0" xfId="0" applyNumberFormat="1" applyAlignment="1">
      <alignment vertical="center"/>
    </xf>
    <xf numFmtId="0" fontId="17" fillId="2" borderId="0" xfId="3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9" fontId="0" fillId="0" borderId="0" xfId="5" applyFont="1" applyAlignment="1">
      <alignment horizontal="center" vertical="center"/>
    </xf>
    <xf numFmtId="0" fontId="17" fillId="2" borderId="32" xfId="3" applyFont="1" applyFill="1" applyBorder="1" applyAlignment="1">
      <alignment horizontal="right" vertical="center"/>
    </xf>
    <xf numFmtId="14" fontId="24" fillId="7" borderId="25" xfId="0" applyNumberFormat="1" applyFont="1" applyFill="1" applyBorder="1" applyAlignment="1">
      <alignment horizontal="center" vertical="center"/>
    </xf>
    <xf numFmtId="0" fontId="24" fillId="7" borderId="30" xfId="0" applyFont="1" applyFill="1" applyBorder="1" applyAlignment="1">
      <alignment horizontal="center" vertical="center"/>
    </xf>
    <xf numFmtId="0" fontId="24" fillId="7" borderId="25" xfId="0" applyFont="1" applyFill="1" applyBorder="1" applyAlignment="1">
      <alignment horizontal="center" vertical="center"/>
    </xf>
    <xf numFmtId="0" fontId="24" fillId="0" borderId="30" xfId="0" applyFont="1" applyFill="1" applyBorder="1" applyAlignment="1">
      <alignment horizontal="center" vertical="center"/>
    </xf>
    <xf numFmtId="0" fontId="15" fillId="2" borderId="22" xfId="3" applyFont="1" applyFill="1" applyBorder="1" applyAlignment="1">
      <alignment horizontal="center" vertical="center"/>
    </xf>
    <xf numFmtId="1" fontId="19" fillId="7" borderId="7" xfId="0" applyNumberFormat="1" applyFont="1" applyFill="1" applyBorder="1" applyAlignment="1">
      <alignment horizontal="center" vertical="center"/>
    </xf>
    <xf numFmtId="1" fontId="19" fillId="7" borderId="23" xfId="0" applyNumberFormat="1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horizontal="center"/>
    </xf>
    <xf numFmtId="1" fontId="16" fillId="0" borderId="1" xfId="0" applyNumberFormat="1" applyFont="1" applyBorder="1" applyAlignment="1">
      <alignment horizontal="left" vertical="center"/>
    </xf>
    <xf numFmtId="0" fontId="0" fillId="8" borderId="0" xfId="0" applyFill="1" applyAlignment="1">
      <alignment vertical="center"/>
    </xf>
    <xf numFmtId="0" fontId="20" fillId="8" borderId="0" xfId="0" applyFont="1" applyFill="1" applyAlignment="1">
      <alignment vertical="center"/>
    </xf>
    <xf numFmtId="0" fontId="0" fillId="8" borderId="1" xfId="0" applyFill="1" applyBorder="1"/>
    <xf numFmtId="9" fontId="0" fillId="8" borderId="1" xfId="5" applyFont="1" applyFill="1" applyBorder="1"/>
    <xf numFmtId="1" fontId="19" fillId="7" borderId="33" xfId="0" applyNumberFormat="1" applyFont="1" applyFill="1" applyBorder="1" applyAlignment="1">
      <alignment horizontal="right" vertical="center"/>
    </xf>
    <xf numFmtId="9" fontId="16" fillId="0" borderId="34" xfId="5" applyFont="1" applyBorder="1" applyAlignment="1">
      <alignment horizontal="center" vertical="center"/>
    </xf>
    <xf numFmtId="0" fontId="15" fillId="2" borderId="35" xfId="3" applyFont="1" applyFill="1" applyBorder="1" applyAlignment="1">
      <alignment horizontal="center" vertical="center"/>
    </xf>
    <xf numFmtId="0" fontId="15" fillId="2" borderId="36" xfId="3" applyFont="1" applyFill="1" applyBorder="1" applyAlignment="1">
      <alignment horizontal="center" vertical="center"/>
    </xf>
    <xf numFmtId="0" fontId="15" fillId="2" borderId="37" xfId="3" applyFont="1" applyFill="1" applyBorder="1" applyAlignment="1">
      <alignment horizontal="center" vertical="center"/>
    </xf>
    <xf numFmtId="1" fontId="19" fillId="7" borderId="38" xfId="0" applyNumberFormat="1" applyFont="1" applyFill="1" applyBorder="1" applyAlignment="1">
      <alignment horizontal="right" vertical="center"/>
    </xf>
    <xf numFmtId="1" fontId="16" fillId="0" borderId="39" xfId="0" applyNumberFormat="1" applyFont="1" applyBorder="1" applyAlignment="1">
      <alignment horizontal="left" vertical="center"/>
    </xf>
    <xf numFmtId="9" fontId="16" fillId="0" borderId="40" xfId="5" applyFont="1" applyBorder="1" applyAlignment="1">
      <alignment horizontal="center" vertical="center"/>
    </xf>
    <xf numFmtId="0" fontId="14" fillId="2" borderId="41" xfId="3" applyFont="1" applyFill="1" applyBorder="1" applyAlignment="1">
      <alignment horizontal="center" vertical="center"/>
    </xf>
    <xf numFmtId="0" fontId="14" fillId="6" borderId="4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23" fillId="3" borderId="0" xfId="0" applyFont="1" applyFill="1" applyAlignment="1">
      <alignment horizontal="left" vertical="center"/>
    </xf>
    <xf numFmtId="0" fontId="25" fillId="2" borderId="0" xfId="0" applyFont="1" applyFill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9" fillId="0" borderId="13" xfId="0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165" fontId="10" fillId="0" borderId="8" xfId="4" applyNumberFormat="1" applyFont="1" applyBorder="1" applyAlignment="1">
      <alignment horizontal="center"/>
    </xf>
    <xf numFmtId="165" fontId="10" fillId="0" borderId="9" xfId="4" applyNumberFormat="1" applyFont="1" applyBorder="1" applyAlignment="1">
      <alignment horizontal="center"/>
    </xf>
    <xf numFmtId="165" fontId="10" fillId="0" borderId="10" xfId="4" applyNumberFormat="1" applyFont="1" applyBorder="1" applyAlignment="1">
      <alignment horizontal="center"/>
    </xf>
    <xf numFmtId="165" fontId="10" fillId="0" borderId="11" xfId="4" applyNumberFormat="1" applyFont="1" applyBorder="1" applyAlignment="1">
      <alignment horizontal="center"/>
    </xf>
    <xf numFmtId="165" fontId="10" fillId="0" borderId="0" xfId="4" applyNumberFormat="1" applyFont="1" applyBorder="1" applyAlignment="1">
      <alignment horizontal="center"/>
    </xf>
    <xf numFmtId="165" fontId="10" fillId="0" borderId="12" xfId="4" applyNumberFormat="1" applyFont="1" applyBorder="1" applyAlignment="1">
      <alignment horizontal="center"/>
    </xf>
    <xf numFmtId="165" fontId="10" fillId="0" borderId="13" xfId="4" applyNumberFormat="1" applyFont="1" applyBorder="1" applyAlignment="1">
      <alignment horizontal="center"/>
    </xf>
    <xf numFmtId="165" fontId="10" fillId="0" borderId="14" xfId="4" applyNumberFormat="1" applyFont="1" applyBorder="1" applyAlignment="1">
      <alignment horizontal="center"/>
    </xf>
    <xf numFmtId="165" fontId="10" fillId="0" borderId="15" xfId="4" applyNumberFormat="1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0" fontId="0" fillId="0" borderId="0" xfId="0" applyNumberFormat="1" applyAlignment="1">
      <alignment horizontal="center" vertical="center"/>
    </xf>
    <xf numFmtId="0" fontId="29" fillId="2" borderId="41" xfId="3" applyFont="1" applyFill="1" applyBorder="1" applyAlignment="1">
      <alignment horizontal="center" vertical="center" wrapText="1"/>
    </xf>
  </cellXfs>
  <cellStyles count="8">
    <cellStyle name="Cabeçalho Meteora" xfId="3" xr:uid="{43DBFFA1-791E-423B-B2A6-377CC2810274}"/>
    <cellStyle name="Ênfase4" xfId="1" builtinId="41" customBuiltin="1"/>
    <cellStyle name="Hiperlink" xfId="6" builtinId="8"/>
    <cellStyle name="Moeda" xfId="4" builtinId="4"/>
    <cellStyle name="Normal" xfId="0" builtinId="0"/>
    <cellStyle name="Porcentagem" xfId="5" builtinId="5"/>
    <cellStyle name="Título Meteora" xfId="2" xr:uid="{52F1EA3C-B23E-4AE6-AE73-27AD9F7C9021}"/>
    <cellStyle name="Vírgula" xfId="7" builtinId="3"/>
  </cellStyles>
  <dxfs count="39"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5" formatCode="_-[$R$-416]\ * #,##0.00_-;\-[$R$-416]\ * #,##0.00_-;_-[$R$-416]\ * &quot;-&quot;??_-;_-@_-"/>
      <alignment horizontal="center" vertical="center" textRotation="0" wrapText="0" indent="0" justifyLastLine="0" shrinkToFit="0" readingOrder="0"/>
    </dxf>
    <dxf>
      <font>
        <color theme="0"/>
      </font>
      <fill>
        <patternFill>
          <bgColor theme="8" tint="-0.24994659260841701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8" tint="-0.24994659260841701"/>
      </font>
      <fill>
        <patternFill patternType="none">
          <bgColor auto="1"/>
        </patternFill>
      </fill>
    </dxf>
    <dxf>
      <font>
        <color theme="7" tint="-0.24994659260841701"/>
      </font>
      <fill>
        <patternFill patternType="none">
          <bgColor auto="1"/>
        </patternFill>
      </fill>
    </dxf>
    <dxf>
      <font>
        <color theme="9" tint="-0.2499465926084170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_-[$R$-416]\ * #,##0.00_-;\-[$R$-416]\ * #,##0.00_-;_-[$R$-416]\ * &quot;-&quot;??_-;_-@_-"/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bgColor theme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ontserrat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ontserrat"/>
        <scheme val="none"/>
      </font>
      <numFmt numFmtId="1" formatCode="0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ontserrat"/>
        <scheme val="none"/>
      </font>
      <numFmt numFmtId="1" formatCode="0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Montserrat"/>
        <scheme val="none"/>
      </font>
      <numFmt numFmtId="1" formatCode="0"/>
      <fill>
        <patternFill patternType="solid">
          <fgColor indexed="64"/>
          <bgColor rgb="FFCCCCCC"/>
        </patternFill>
      </fill>
      <alignment horizontal="righ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 tint="-4.9989318521683403E-2"/>
        <name val="Montserrat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5" formatCode="_-[$R$-416]\ * #,##0.00_-;\-[$R$-416]\ * #,##0.00_-;_-[$R$-416]\ * &quot;-&quot;??_-;_-@_-"/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Montserrat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FF01"/>
      <color rgb="FF9353FF"/>
      <color rgb="FFCCCCCC"/>
      <color rgb="FF4472C4"/>
      <color rgb="FFEE6471"/>
      <color rgb="FFF87F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DAFF01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'Dados para Gráficos'!$A$2:$A$4</c:f>
              <c:strCache>
                <c:ptCount val="3"/>
                <c:pt idx="0">
                  <c:v>Acessórios</c:v>
                </c:pt>
                <c:pt idx="1">
                  <c:v>Calçados</c:v>
                </c:pt>
                <c:pt idx="2">
                  <c:v>Vestuário</c:v>
                </c:pt>
              </c:strCache>
            </c:strRef>
          </c:cat>
          <c:val>
            <c:numRef>
              <c:f>'Dados para Gráficos'!$B$2:$B$4</c:f>
              <c:numCache>
                <c:formatCode>_-[$R$-416]\ * #,##0.00_-;\-[$R$-416]\ * #,##0.00_-;_-[$R$-416]\ * "-"??_-;_-@_-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ED-40A7-AA9E-C0A6A532685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04417823"/>
        <c:axId val="204416863"/>
      </c:barChart>
      <c:catAx>
        <c:axId val="2044178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4416863"/>
        <c:crosses val="autoZero"/>
        <c:auto val="1"/>
        <c:lblAlgn val="ctr"/>
        <c:lblOffset val="100"/>
        <c:noMultiLvlLbl val="0"/>
      </c:catAx>
      <c:valAx>
        <c:axId val="204416863"/>
        <c:scaling>
          <c:orientation val="minMax"/>
        </c:scaling>
        <c:delete val="1"/>
        <c:axPos val="b"/>
        <c:numFmt formatCode="_-[$R$-416]\ * #,##0.00_-;\-[$R$-416]\ * #,##0.00_-;_-[$R$-416]\ * &quot;-&quot;??_-;_-@_-" sourceLinked="1"/>
        <c:majorTickMark val="none"/>
        <c:minorTickMark val="none"/>
        <c:tickLblPos val="nextTo"/>
        <c:crossAx val="204417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CCCCCC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'Dados para Gráficos'!$E$2:$E$7</c:f>
              <c:strCache>
                <c:ptCount val="6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</c:strCache>
            </c:strRef>
          </c:cat>
          <c:val>
            <c:numRef>
              <c:f>'Dados para Gráficos'!$F$2:$F$7</c:f>
              <c:numCache>
                <c:formatCode>_-[$R$-416]\ * #,##0.00_-;\-[$R$-416]\ * #,##0.00_-;_-[$R$-416]\ * "-"??_-;_-@_-</c:formatCode>
                <c:ptCount val="6"/>
                <c:pt idx="0">
                  <c:v>1750.9</c:v>
                </c:pt>
                <c:pt idx="1">
                  <c:v>2974.9</c:v>
                </c:pt>
                <c:pt idx="2">
                  <c:v>3698.1</c:v>
                </c:pt>
                <c:pt idx="3">
                  <c:v>3651.0999999999995</c:v>
                </c:pt>
                <c:pt idx="4">
                  <c:v>2776.2999999999997</c:v>
                </c:pt>
                <c:pt idx="5">
                  <c:v>3477.7000000000007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29-4792-A1F4-585FD4B075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80347871"/>
        <c:axId val="580365151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'Dados para Gráficos'!$E$2:$E$7</c:f>
              <c:strCache>
                <c:ptCount val="6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</c:strCache>
            </c:strRef>
          </c:cat>
          <c:val>
            <c:numRef>
              <c:f>'Dados para Gráficos'!$G$2:$G$7</c:f>
              <c:numCache>
                <c:formatCode>General</c:formatCode>
                <c:ptCount val="6"/>
                <c:pt idx="0">
                  <c:v>14</c:v>
                </c:pt>
                <c:pt idx="1">
                  <c:v>15</c:v>
                </c:pt>
                <c:pt idx="2">
                  <c:v>26</c:v>
                </c:pt>
                <c:pt idx="3">
                  <c:v>28</c:v>
                </c:pt>
                <c:pt idx="4">
                  <c:v>17</c:v>
                </c:pt>
                <c:pt idx="5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29-4792-A1F4-585FD4B075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0377631"/>
        <c:axId val="580369951"/>
      </c:lineChart>
      <c:catAx>
        <c:axId val="580347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0365151"/>
        <c:crosses val="autoZero"/>
        <c:auto val="1"/>
        <c:lblAlgn val="ctr"/>
        <c:lblOffset val="100"/>
        <c:noMultiLvlLbl val="0"/>
      </c:catAx>
      <c:valAx>
        <c:axId val="580365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R$-416]\ * #,##0.00_-;\-[$R$-416]\ * #,##0.00_-;_-[$R$-416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0347871"/>
        <c:crosses val="autoZero"/>
        <c:crossBetween val="between"/>
      </c:valAx>
      <c:valAx>
        <c:axId val="580369951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0377631"/>
        <c:crosses val="max"/>
        <c:crossBetween val="between"/>
      </c:valAx>
      <c:catAx>
        <c:axId val="580377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8036995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rgbClr val="EE647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'Dados para Gráficos'!$I$3</c:f>
              <c:strCache>
                <c:ptCount val="1"/>
                <c:pt idx="0">
                  <c:v>João</c:v>
                </c:pt>
              </c:strCache>
            </c:strRef>
          </c:tx>
          <c:dPt>
            <c:idx val="0"/>
            <c:bubble3D val="0"/>
            <c:spPr>
              <a:solidFill>
                <a:srgbClr val="EE647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FB2-4EAB-AC1C-F0EA07481462}"/>
              </c:ext>
            </c:extLst>
          </c:dPt>
          <c:dPt>
            <c:idx val="1"/>
            <c:bubble3D val="0"/>
            <c:spPr>
              <a:solidFill>
                <a:srgbClr val="EE6471">
                  <a:alpha val="30196"/>
                </a:srgb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FB2-4EAB-AC1C-F0EA07481462}"/>
              </c:ext>
            </c:extLst>
          </c:dPt>
          <c:dLbls>
            <c:delete val="1"/>
          </c:dLbls>
          <c:val>
            <c:numRef>
              <c:f>'Dados para Gráficos'!$J$3:$K$3</c:f>
              <c:numCache>
                <c:formatCode>0.00%</c:formatCode>
                <c:ptCount val="2"/>
                <c:pt idx="0" formatCode="0%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B2-4EAB-AC1C-F0EA07481462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rgbClr val="9353FF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'Dados para Gráficos'!$I$4</c:f>
              <c:strCache>
                <c:ptCount val="1"/>
                <c:pt idx="0">
                  <c:v>Sarah</c:v>
                </c:pt>
              </c:strCache>
            </c:strRef>
          </c:tx>
          <c:dPt>
            <c:idx val="0"/>
            <c:bubble3D val="0"/>
            <c:spPr>
              <a:solidFill>
                <a:srgbClr val="9353FF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A56-46FA-A4A3-10DC4C20EA9E}"/>
              </c:ext>
            </c:extLst>
          </c:dPt>
          <c:dPt>
            <c:idx val="1"/>
            <c:bubble3D val="0"/>
            <c:spPr>
              <a:solidFill>
                <a:srgbClr val="9353FF">
                  <a:alpha val="30196"/>
                </a:srgb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A56-46FA-A4A3-10DC4C20EA9E}"/>
              </c:ext>
            </c:extLst>
          </c:dPt>
          <c:dLbls>
            <c:delete val="1"/>
          </c:dLbls>
          <c:val>
            <c:numRef>
              <c:f>'Dados para Gráficos'!$J$4:$K$4</c:f>
              <c:numCache>
                <c:formatCode>0.00%</c:formatCode>
                <c:ptCount val="2"/>
                <c:pt idx="0" formatCode="0%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A56-46FA-A4A3-10DC4C20EA9E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rgbClr val="F87F46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'Dados para Gráficos'!$I$2</c:f>
              <c:strCache>
                <c:ptCount val="1"/>
                <c:pt idx="0">
                  <c:v>Clara</c:v>
                </c:pt>
              </c:strCache>
            </c:strRef>
          </c:tx>
          <c:dPt>
            <c:idx val="0"/>
            <c:bubble3D val="0"/>
            <c:spPr>
              <a:solidFill>
                <a:srgbClr val="F87F4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BB2-4B4C-8E27-1A3FA2CD47F0}"/>
              </c:ext>
            </c:extLst>
          </c:dPt>
          <c:dPt>
            <c:idx val="1"/>
            <c:bubble3D val="0"/>
            <c:spPr>
              <a:solidFill>
                <a:srgbClr val="F87F46">
                  <a:alpha val="30196"/>
                </a:srgb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BB2-4B4C-8E27-1A3FA2CD47F0}"/>
              </c:ext>
            </c:extLst>
          </c:dPt>
          <c:dLbls>
            <c:delete val="1"/>
          </c:dLbls>
          <c:val>
            <c:numRef>
              <c:f>'Dados para Gráficos'!$J$2:$K$2</c:f>
              <c:numCache>
                <c:formatCode>0.00%</c:formatCode>
                <c:ptCount val="2"/>
                <c:pt idx="0" formatCode="0%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B2-4B4C-8E27-1A3FA2CD47F0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Produtos!A1"/><Relationship Id="rId2" Type="http://schemas.openxmlformats.org/officeDocument/2006/relationships/hyperlink" Target="#Vendas!A1"/><Relationship Id="rId1" Type="http://schemas.openxmlformats.org/officeDocument/2006/relationships/image" Target="../media/image1.png"/><Relationship Id="rId5" Type="http://schemas.openxmlformats.org/officeDocument/2006/relationships/hyperlink" Target="#Consultas!A1"/><Relationship Id="rId4" Type="http://schemas.openxmlformats.org/officeDocument/2006/relationships/hyperlink" Target="#Vendedores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Consultas!A1"/><Relationship Id="rId2" Type="http://schemas.openxmlformats.org/officeDocument/2006/relationships/hyperlink" Target="#Menu!A1"/><Relationship Id="rId1" Type="http://schemas.openxmlformats.org/officeDocument/2006/relationships/image" Target="../media/image2.png"/><Relationship Id="rId5" Type="http://schemas.openxmlformats.org/officeDocument/2006/relationships/hyperlink" Target="#Vendedores!A1"/><Relationship Id="rId4" Type="http://schemas.openxmlformats.org/officeDocument/2006/relationships/hyperlink" Target="#Vendas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Consultas!A1"/><Relationship Id="rId2" Type="http://schemas.openxmlformats.org/officeDocument/2006/relationships/hyperlink" Target="#Menu!A1"/><Relationship Id="rId1" Type="http://schemas.openxmlformats.org/officeDocument/2006/relationships/image" Target="../media/image2.png"/><Relationship Id="rId5" Type="http://schemas.openxmlformats.org/officeDocument/2006/relationships/hyperlink" Target="#Produtos!A1"/><Relationship Id="rId4" Type="http://schemas.openxmlformats.org/officeDocument/2006/relationships/hyperlink" Target="#Vendas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Consultas!A1"/><Relationship Id="rId2" Type="http://schemas.openxmlformats.org/officeDocument/2006/relationships/hyperlink" Target="#Menu!A1"/><Relationship Id="rId1" Type="http://schemas.openxmlformats.org/officeDocument/2006/relationships/image" Target="../media/image2.png"/><Relationship Id="rId5" Type="http://schemas.openxmlformats.org/officeDocument/2006/relationships/hyperlink" Target="#Produtos!A1"/><Relationship Id="rId4" Type="http://schemas.openxmlformats.org/officeDocument/2006/relationships/hyperlink" Target="#Vendedores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Vendas!A1"/><Relationship Id="rId2" Type="http://schemas.openxmlformats.org/officeDocument/2006/relationships/hyperlink" Target="#Menu!A1"/><Relationship Id="rId1" Type="http://schemas.openxmlformats.org/officeDocument/2006/relationships/image" Target="../media/image2.png"/><Relationship Id="rId5" Type="http://schemas.openxmlformats.org/officeDocument/2006/relationships/hyperlink" Target="#Produtos!A1"/><Relationship Id="rId4" Type="http://schemas.openxmlformats.org/officeDocument/2006/relationships/hyperlink" Target="#Vendedores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3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457200</xdr:colOff>
      <xdr:row>1</xdr:row>
      <xdr:rowOff>121920</xdr:rowOff>
    </xdr:from>
    <xdr:to>
      <xdr:col>9</xdr:col>
      <xdr:colOff>579120</xdr:colOff>
      <xdr:row>5</xdr:row>
      <xdr:rowOff>152409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3DE8B45-09AB-055B-1B63-2260FE5D18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6800" y="304800"/>
          <a:ext cx="4998720" cy="762009"/>
        </a:xfrm>
        <a:prstGeom prst="rect">
          <a:avLst/>
        </a:prstGeom>
      </xdr:spPr>
    </xdr:pic>
    <xdr:clientData/>
  </xdr:twoCellAnchor>
  <xdr:twoCellAnchor>
    <xdr:from>
      <xdr:col>6</xdr:col>
      <xdr:colOff>206375</xdr:colOff>
      <xdr:row>7</xdr:row>
      <xdr:rowOff>177165</xdr:rowOff>
    </xdr:from>
    <xdr:to>
      <xdr:col>8</xdr:col>
      <xdr:colOff>347345</xdr:colOff>
      <xdr:row>10</xdr:row>
      <xdr:rowOff>146685</xdr:rowOff>
    </xdr:to>
    <xdr:sp macro="" textlink="">
      <xdr:nvSpPr>
        <xdr:cNvPr id="5" name="Retângulo: Cantos Arredondado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4E9D6B59-05D9-B03E-33FF-654DC865E65A}"/>
            </a:ext>
          </a:extLst>
        </xdr:cNvPr>
        <xdr:cNvSpPr/>
      </xdr:nvSpPr>
      <xdr:spPr>
        <a:xfrm>
          <a:off x="3749675" y="1510665"/>
          <a:ext cx="1322070" cy="5410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400" b="1">
              <a:solidFill>
                <a:srgbClr val="DAFF01"/>
              </a:solidFill>
              <a:latin typeface="MuseoModerno" pitchFamily="2" charset="0"/>
              <a:ea typeface="+mn-ea"/>
              <a:cs typeface="+mn-cs"/>
            </a:rPr>
            <a:t>Vendas</a:t>
          </a:r>
        </a:p>
      </xdr:txBody>
    </xdr:sp>
    <xdr:clientData/>
  </xdr:twoCellAnchor>
  <xdr:twoCellAnchor>
    <xdr:from>
      <xdr:col>1</xdr:col>
      <xdr:colOff>43815</xdr:colOff>
      <xdr:row>7</xdr:row>
      <xdr:rowOff>177165</xdr:rowOff>
    </xdr:from>
    <xdr:to>
      <xdr:col>3</xdr:col>
      <xdr:colOff>203835</xdr:colOff>
      <xdr:row>10</xdr:row>
      <xdr:rowOff>146685</xdr:rowOff>
    </xdr:to>
    <xdr:sp macro="" textlink="">
      <xdr:nvSpPr>
        <xdr:cNvPr id="7" name="Retângulo: Cantos Arredondados 6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C8F6523-8DD6-8EA8-3868-7A382EBABA1C}"/>
            </a:ext>
          </a:extLst>
        </xdr:cNvPr>
        <xdr:cNvSpPr/>
      </xdr:nvSpPr>
      <xdr:spPr>
        <a:xfrm>
          <a:off x="634365" y="1510665"/>
          <a:ext cx="1341120" cy="5410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>
              <a:solidFill>
                <a:srgbClr val="DAFF01"/>
              </a:solidFill>
              <a:latin typeface="MuseoModerno" pitchFamily="2" charset="0"/>
            </a:rPr>
            <a:t>Produtos</a:t>
          </a:r>
        </a:p>
      </xdr:txBody>
    </xdr:sp>
    <xdr:clientData/>
  </xdr:twoCellAnchor>
  <xdr:twoCellAnchor>
    <xdr:from>
      <xdr:col>3</xdr:col>
      <xdr:colOff>420370</xdr:colOff>
      <xdr:row>7</xdr:row>
      <xdr:rowOff>177165</xdr:rowOff>
    </xdr:from>
    <xdr:to>
      <xdr:col>5</xdr:col>
      <xdr:colOff>580390</xdr:colOff>
      <xdr:row>10</xdr:row>
      <xdr:rowOff>146685</xdr:rowOff>
    </xdr:to>
    <xdr:sp macro="" textlink="">
      <xdr:nvSpPr>
        <xdr:cNvPr id="9" name="Retângulo: Cantos Arredondados 8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55DBCBF-1552-7BEE-78FD-FBEFEF801194}"/>
            </a:ext>
          </a:extLst>
        </xdr:cNvPr>
        <xdr:cNvSpPr/>
      </xdr:nvSpPr>
      <xdr:spPr>
        <a:xfrm>
          <a:off x="2192020" y="1510665"/>
          <a:ext cx="1341120" cy="5410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>
              <a:solidFill>
                <a:srgbClr val="DAFF01"/>
              </a:solidFill>
              <a:latin typeface="MuseoModerno" pitchFamily="2" charset="0"/>
            </a:rPr>
            <a:t>Vendedores</a:t>
          </a:r>
        </a:p>
      </xdr:txBody>
    </xdr:sp>
    <xdr:clientData/>
  </xdr:twoCellAnchor>
  <xdr:twoCellAnchor>
    <xdr:from>
      <xdr:col>8</xdr:col>
      <xdr:colOff>563880</xdr:colOff>
      <xdr:row>7</xdr:row>
      <xdr:rowOff>177165</xdr:rowOff>
    </xdr:from>
    <xdr:to>
      <xdr:col>11</xdr:col>
      <xdr:colOff>133350</xdr:colOff>
      <xdr:row>10</xdr:row>
      <xdr:rowOff>146685</xdr:rowOff>
    </xdr:to>
    <xdr:sp macro="" textlink="">
      <xdr:nvSpPr>
        <xdr:cNvPr id="11" name="Retângulo: Cantos Arredondados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81DF467C-2EA0-98A2-30B7-FDC407A177D5}"/>
            </a:ext>
          </a:extLst>
        </xdr:cNvPr>
        <xdr:cNvSpPr/>
      </xdr:nvSpPr>
      <xdr:spPr>
        <a:xfrm>
          <a:off x="5288280" y="1510665"/>
          <a:ext cx="1341120" cy="5410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400" b="1">
              <a:solidFill>
                <a:srgbClr val="DAFF01"/>
              </a:solidFill>
              <a:latin typeface="MuseoModerno" pitchFamily="2" charset="0"/>
              <a:ea typeface="+mn-ea"/>
              <a:cs typeface="+mn-cs"/>
            </a:rPr>
            <a:t>Consultas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86361</xdr:colOff>
      <xdr:row>0</xdr:row>
      <xdr:rowOff>76201</xdr:rowOff>
    </xdr:from>
    <xdr:to>
      <xdr:col>0</xdr:col>
      <xdr:colOff>476250</xdr:colOff>
      <xdr:row>0</xdr:row>
      <xdr:rowOff>473710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BD4DE5D6-A5B5-406D-9CE1-F58B167B19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361" y="76201"/>
          <a:ext cx="386079" cy="386079"/>
        </a:xfrm>
        <a:prstGeom prst="rect">
          <a:avLst/>
        </a:prstGeom>
      </xdr:spPr>
    </xdr:pic>
    <xdr:clientData/>
  </xdr:twoCellAnchor>
  <xdr:twoCellAnchor editAs="absolute">
    <xdr:from>
      <xdr:col>6</xdr:col>
      <xdr:colOff>1312544</xdr:colOff>
      <xdr:row>0</xdr:row>
      <xdr:rowOff>96204</xdr:rowOff>
    </xdr:from>
    <xdr:to>
      <xdr:col>7</xdr:col>
      <xdr:colOff>478154</xdr:colOff>
      <xdr:row>0</xdr:row>
      <xdr:rowOff>402909</xdr:rowOff>
    </xdr:to>
    <xdr:sp macro="" textlink="">
      <xdr:nvSpPr>
        <xdr:cNvPr id="2" name="Retângulo: Cantos Arredondados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99A16521-3CF2-4B53-B0C2-257D770BDFBA}"/>
            </a:ext>
          </a:extLst>
        </xdr:cNvPr>
        <xdr:cNvSpPr/>
      </xdr:nvSpPr>
      <xdr:spPr>
        <a:xfrm>
          <a:off x="7553324" y="100014"/>
          <a:ext cx="683895" cy="314325"/>
        </a:xfrm>
        <a:prstGeom prst="roundRect">
          <a:avLst/>
        </a:prstGeom>
        <a:solidFill>
          <a:srgbClr val="9353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bg1"/>
              </a:solidFill>
              <a:latin typeface="MuseoModerno" pitchFamily="2" charset="0"/>
            </a:rPr>
            <a:t>Voltar</a:t>
          </a:r>
        </a:p>
      </xdr:txBody>
    </xdr:sp>
    <xdr:clientData/>
  </xdr:twoCellAnchor>
  <xdr:twoCellAnchor editAs="absolute">
    <xdr:from>
      <xdr:col>5</xdr:col>
      <xdr:colOff>533400</xdr:colOff>
      <xdr:row>0</xdr:row>
      <xdr:rowOff>96204</xdr:rowOff>
    </xdr:from>
    <xdr:to>
      <xdr:col>6</xdr:col>
      <xdr:colOff>626745</xdr:colOff>
      <xdr:row>0</xdr:row>
      <xdr:rowOff>402909</xdr:rowOff>
    </xdr:to>
    <xdr:sp macro="" textlink="">
      <xdr:nvSpPr>
        <xdr:cNvPr id="3" name="Retângulo: Cantos Arredondados 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714EE7B-96E6-4187-9F93-B47D5044F002}"/>
            </a:ext>
          </a:extLst>
        </xdr:cNvPr>
        <xdr:cNvSpPr/>
      </xdr:nvSpPr>
      <xdr:spPr>
        <a:xfrm>
          <a:off x="5905500" y="100014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Consultas</a:t>
          </a:r>
        </a:p>
      </xdr:txBody>
    </xdr:sp>
    <xdr:clientData/>
  </xdr:twoCellAnchor>
  <xdr:twoCellAnchor editAs="absolute">
    <xdr:from>
      <xdr:col>4</xdr:col>
      <xdr:colOff>593408</xdr:colOff>
      <xdr:row>0</xdr:row>
      <xdr:rowOff>96204</xdr:rowOff>
    </xdr:from>
    <xdr:to>
      <xdr:col>5</xdr:col>
      <xdr:colOff>437198</xdr:colOff>
      <xdr:row>0</xdr:row>
      <xdr:rowOff>402909</xdr:rowOff>
    </xdr:to>
    <xdr:sp macro="" textlink="">
      <xdr:nvSpPr>
        <xdr:cNvPr id="4" name="Retângulo: Cantos Arredondados 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DAC1AAC-274C-4CCA-A247-AA03B11D181B}"/>
            </a:ext>
          </a:extLst>
        </xdr:cNvPr>
        <xdr:cNvSpPr/>
      </xdr:nvSpPr>
      <xdr:spPr>
        <a:xfrm>
          <a:off x="4833938" y="100014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Vendas</a:t>
          </a:r>
        </a:p>
      </xdr:txBody>
    </xdr:sp>
    <xdr:clientData/>
  </xdr:twoCellAnchor>
  <xdr:twoCellAnchor editAs="absolute">
    <xdr:from>
      <xdr:col>3</xdr:col>
      <xdr:colOff>476250</xdr:colOff>
      <xdr:row>0</xdr:row>
      <xdr:rowOff>96204</xdr:rowOff>
    </xdr:from>
    <xdr:to>
      <xdr:col>4</xdr:col>
      <xdr:colOff>516255</xdr:colOff>
      <xdr:row>0</xdr:row>
      <xdr:rowOff>402909</xdr:rowOff>
    </xdr:to>
    <xdr:sp macro="" textlink="">
      <xdr:nvSpPr>
        <xdr:cNvPr id="5" name="Retângulo: Cantos Arredondados 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C42098C0-66DE-4C93-8742-A1DDC837229B}"/>
            </a:ext>
          </a:extLst>
        </xdr:cNvPr>
        <xdr:cNvSpPr/>
      </xdr:nvSpPr>
      <xdr:spPr>
        <a:xfrm>
          <a:off x="3762375" y="100014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Vendedores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281940</xdr:colOff>
      <xdr:row>0</xdr:row>
      <xdr:rowOff>76200</xdr:rowOff>
    </xdr:from>
    <xdr:to>
      <xdr:col>0</xdr:col>
      <xdr:colOff>668019</xdr:colOff>
      <xdr:row>0</xdr:row>
      <xdr:rowOff>477519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D4363A8-ECD7-4ED2-8B5E-4B8412B66B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1940" y="76200"/>
          <a:ext cx="386079" cy="386079"/>
        </a:xfrm>
        <a:prstGeom prst="rect">
          <a:avLst/>
        </a:prstGeom>
      </xdr:spPr>
    </xdr:pic>
    <xdr:clientData/>
  </xdr:twoCellAnchor>
  <xdr:twoCellAnchor editAs="absolute">
    <xdr:from>
      <xdr:col>5</xdr:col>
      <xdr:colOff>1068704</xdr:colOff>
      <xdr:row>0</xdr:row>
      <xdr:rowOff>95250</xdr:rowOff>
    </xdr:from>
    <xdr:to>
      <xdr:col>5</xdr:col>
      <xdr:colOff>1733549</xdr:colOff>
      <xdr:row>0</xdr:row>
      <xdr:rowOff>396240</xdr:rowOff>
    </xdr:to>
    <xdr:sp macro="" textlink="">
      <xdr:nvSpPr>
        <xdr:cNvPr id="3" name="Retângulo: Cantos Arredondado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F6F0C8CE-E1DD-46B0-9EC1-0DB234C25F94}"/>
            </a:ext>
          </a:extLst>
        </xdr:cNvPr>
        <xdr:cNvSpPr/>
      </xdr:nvSpPr>
      <xdr:spPr>
        <a:xfrm>
          <a:off x="7640954" y="95250"/>
          <a:ext cx="664845" cy="300990"/>
        </a:xfrm>
        <a:prstGeom prst="roundRect">
          <a:avLst/>
        </a:prstGeom>
        <a:solidFill>
          <a:srgbClr val="9353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bg1"/>
              </a:solidFill>
              <a:latin typeface="MuseoModerno" pitchFamily="2" charset="0"/>
            </a:rPr>
            <a:t>Voltar</a:t>
          </a:r>
        </a:p>
      </xdr:txBody>
    </xdr:sp>
    <xdr:clientData/>
  </xdr:twoCellAnchor>
  <xdr:twoCellAnchor editAs="absolute">
    <xdr:from>
      <xdr:col>4</xdr:col>
      <xdr:colOff>1543050</xdr:colOff>
      <xdr:row>0</xdr:row>
      <xdr:rowOff>91440</xdr:rowOff>
    </xdr:from>
    <xdr:to>
      <xdr:col>5</xdr:col>
      <xdr:colOff>628650</xdr:colOff>
      <xdr:row>0</xdr:row>
      <xdr:rowOff>400050</xdr:rowOff>
    </xdr:to>
    <xdr:sp macro="" textlink="">
      <xdr:nvSpPr>
        <xdr:cNvPr id="4" name="Retângulo: Cantos Arredondado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2D492B7-9A40-45DF-8DD9-FF4B8AC4B805}"/>
            </a:ext>
          </a:extLst>
        </xdr:cNvPr>
        <xdr:cNvSpPr/>
      </xdr:nvSpPr>
      <xdr:spPr>
        <a:xfrm>
          <a:off x="6048375" y="85725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Consultas</a:t>
          </a:r>
        </a:p>
      </xdr:txBody>
    </xdr:sp>
    <xdr:clientData/>
  </xdr:twoCellAnchor>
  <xdr:twoCellAnchor editAs="absolute">
    <xdr:from>
      <xdr:col>4</xdr:col>
      <xdr:colOff>439103</xdr:colOff>
      <xdr:row>0</xdr:row>
      <xdr:rowOff>91440</xdr:rowOff>
    </xdr:from>
    <xdr:to>
      <xdr:col>4</xdr:col>
      <xdr:colOff>1429703</xdr:colOff>
      <xdr:row>0</xdr:row>
      <xdr:rowOff>400050</xdr:rowOff>
    </xdr:to>
    <xdr:sp macro="" textlink="">
      <xdr:nvSpPr>
        <xdr:cNvPr id="5" name="Retângulo: Cantos Arredondados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71189A0F-6039-4D6D-9A86-B4FB82EB1AE6}"/>
            </a:ext>
          </a:extLst>
        </xdr:cNvPr>
        <xdr:cNvSpPr/>
      </xdr:nvSpPr>
      <xdr:spPr>
        <a:xfrm>
          <a:off x="4976813" y="85725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Vendas</a:t>
          </a:r>
        </a:p>
      </xdr:txBody>
    </xdr:sp>
    <xdr:clientData/>
  </xdr:twoCellAnchor>
  <xdr:twoCellAnchor editAs="absolute">
    <xdr:from>
      <xdr:col>3</xdr:col>
      <xdr:colOff>1163955</xdr:colOff>
      <xdr:row>0</xdr:row>
      <xdr:rowOff>91440</xdr:rowOff>
    </xdr:from>
    <xdr:to>
      <xdr:col>4</xdr:col>
      <xdr:colOff>361950</xdr:colOff>
      <xdr:row>0</xdr:row>
      <xdr:rowOff>400050</xdr:rowOff>
    </xdr:to>
    <xdr:sp macro="" textlink="">
      <xdr:nvSpPr>
        <xdr:cNvPr id="6" name="Retângulo: Cantos Arredondados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E510B14D-B133-4912-957D-08B56E453DEC}"/>
            </a:ext>
          </a:extLst>
        </xdr:cNvPr>
        <xdr:cNvSpPr/>
      </xdr:nvSpPr>
      <xdr:spPr>
        <a:xfrm>
          <a:off x="3905250" y="85725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Produtos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144780</xdr:colOff>
      <xdr:row>0</xdr:row>
      <xdr:rowOff>76200</xdr:rowOff>
    </xdr:from>
    <xdr:to>
      <xdr:col>1</xdr:col>
      <xdr:colOff>530859</xdr:colOff>
      <xdr:row>0</xdr:row>
      <xdr:rowOff>477519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412354E-AD1A-4804-A470-15E224356E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780" y="76200"/>
          <a:ext cx="386079" cy="386079"/>
        </a:xfrm>
        <a:prstGeom prst="rect">
          <a:avLst/>
        </a:prstGeom>
      </xdr:spPr>
    </xdr:pic>
    <xdr:clientData/>
  </xdr:twoCellAnchor>
  <xdr:twoCellAnchor editAs="absolute">
    <xdr:from>
      <xdr:col>8</xdr:col>
      <xdr:colOff>1450249</xdr:colOff>
      <xdr:row>0</xdr:row>
      <xdr:rowOff>91440</xdr:rowOff>
    </xdr:from>
    <xdr:to>
      <xdr:col>9</xdr:col>
      <xdr:colOff>590549</xdr:colOff>
      <xdr:row>0</xdr:row>
      <xdr:rowOff>400050</xdr:rowOff>
    </xdr:to>
    <xdr:sp macro="" textlink="">
      <xdr:nvSpPr>
        <xdr:cNvPr id="2" name="Retângulo: Cantos Arredondados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1B701B76-473A-4A55-AF0E-ECBD9BBE384C}"/>
            </a:ext>
          </a:extLst>
        </xdr:cNvPr>
        <xdr:cNvSpPr/>
      </xdr:nvSpPr>
      <xdr:spPr>
        <a:xfrm>
          <a:off x="7715249" y="85725"/>
          <a:ext cx="683895" cy="314325"/>
        </a:xfrm>
        <a:prstGeom prst="roundRect">
          <a:avLst/>
        </a:prstGeom>
        <a:solidFill>
          <a:srgbClr val="9353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bg1"/>
              </a:solidFill>
              <a:latin typeface="MuseoModerno" pitchFamily="2" charset="0"/>
            </a:rPr>
            <a:t>Voltar</a:t>
          </a:r>
        </a:p>
      </xdr:txBody>
    </xdr:sp>
    <xdr:clientData/>
  </xdr:twoCellAnchor>
  <xdr:twoCellAnchor editAs="absolute">
    <xdr:from>
      <xdr:col>7</xdr:col>
      <xdr:colOff>381816</xdr:colOff>
      <xdr:row>0</xdr:row>
      <xdr:rowOff>91440</xdr:rowOff>
    </xdr:from>
    <xdr:to>
      <xdr:col>8</xdr:col>
      <xdr:colOff>781595</xdr:colOff>
      <xdr:row>0</xdr:row>
      <xdr:rowOff>400050</xdr:rowOff>
    </xdr:to>
    <xdr:sp macro="" textlink="">
      <xdr:nvSpPr>
        <xdr:cNvPr id="4" name="Retângulo: Cantos Arredondado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C5575B6-61D4-49F3-9180-2CA2D567325C}"/>
            </a:ext>
          </a:extLst>
        </xdr:cNvPr>
        <xdr:cNvSpPr/>
      </xdr:nvSpPr>
      <xdr:spPr>
        <a:xfrm>
          <a:off x="6067425" y="85725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Consultas</a:t>
          </a:r>
        </a:p>
      </xdr:txBody>
    </xdr:sp>
    <xdr:clientData/>
  </xdr:twoCellAnchor>
  <xdr:twoCellAnchor editAs="absolute">
    <xdr:from>
      <xdr:col>6</xdr:col>
      <xdr:colOff>855753</xdr:colOff>
      <xdr:row>0</xdr:row>
      <xdr:rowOff>91440</xdr:rowOff>
    </xdr:from>
    <xdr:to>
      <xdr:col>7</xdr:col>
      <xdr:colOff>306569</xdr:colOff>
      <xdr:row>0</xdr:row>
      <xdr:rowOff>400050</xdr:rowOff>
    </xdr:to>
    <xdr:sp macro="" textlink="">
      <xdr:nvSpPr>
        <xdr:cNvPr id="5" name="Retângulo: Cantos Arredondados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F03579C-CAF6-4B7E-BEF7-4259D9774AFB}"/>
            </a:ext>
          </a:extLst>
        </xdr:cNvPr>
        <xdr:cNvSpPr/>
      </xdr:nvSpPr>
      <xdr:spPr>
        <a:xfrm>
          <a:off x="4995863" y="85725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Vendedores</a:t>
          </a:r>
        </a:p>
      </xdr:txBody>
    </xdr:sp>
    <xdr:clientData/>
  </xdr:twoCellAnchor>
  <xdr:twoCellAnchor editAs="absolute">
    <xdr:from>
      <xdr:col>5</xdr:col>
      <xdr:colOff>455295</xdr:colOff>
      <xdr:row>0</xdr:row>
      <xdr:rowOff>91440</xdr:rowOff>
    </xdr:from>
    <xdr:to>
      <xdr:col>6</xdr:col>
      <xdr:colOff>784315</xdr:colOff>
      <xdr:row>0</xdr:row>
      <xdr:rowOff>400050</xdr:rowOff>
    </xdr:to>
    <xdr:sp macro="" textlink="">
      <xdr:nvSpPr>
        <xdr:cNvPr id="6" name="Retângulo: Cantos Arredondados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72EDB1BC-9302-487C-8922-6F0622D6EF3B}"/>
            </a:ext>
          </a:extLst>
        </xdr:cNvPr>
        <xdr:cNvSpPr/>
      </xdr:nvSpPr>
      <xdr:spPr>
        <a:xfrm>
          <a:off x="3924300" y="85725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Produtos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106680</xdr:colOff>
      <xdr:row>0</xdr:row>
      <xdr:rowOff>68580</xdr:rowOff>
    </xdr:from>
    <xdr:to>
      <xdr:col>0</xdr:col>
      <xdr:colOff>492759</xdr:colOff>
      <xdr:row>0</xdr:row>
      <xdr:rowOff>454659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456271F-9F53-4B55-9E8A-E9E2FC35BD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680" y="68580"/>
          <a:ext cx="386079" cy="386079"/>
        </a:xfrm>
        <a:prstGeom prst="rect">
          <a:avLst/>
        </a:prstGeom>
      </xdr:spPr>
    </xdr:pic>
    <xdr:clientData/>
  </xdr:twoCellAnchor>
  <xdr:twoCellAnchor editAs="absolute">
    <xdr:from>
      <xdr:col>4</xdr:col>
      <xdr:colOff>1009649</xdr:colOff>
      <xdr:row>0</xdr:row>
      <xdr:rowOff>95250</xdr:rowOff>
    </xdr:from>
    <xdr:to>
      <xdr:col>5</xdr:col>
      <xdr:colOff>249554</xdr:colOff>
      <xdr:row>0</xdr:row>
      <xdr:rowOff>396240</xdr:rowOff>
    </xdr:to>
    <xdr:sp macro="" textlink="">
      <xdr:nvSpPr>
        <xdr:cNvPr id="2" name="Retângulo: Cantos Arredondados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29DEB8D7-0FEB-4507-A50B-05B81C09950A}"/>
            </a:ext>
          </a:extLst>
        </xdr:cNvPr>
        <xdr:cNvSpPr/>
      </xdr:nvSpPr>
      <xdr:spPr>
        <a:xfrm>
          <a:off x="6115049" y="85725"/>
          <a:ext cx="683895" cy="314325"/>
        </a:xfrm>
        <a:prstGeom prst="roundRect">
          <a:avLst/>
        </a:prstGeom>
        <a:solidFill>
          <a:srgbClr val="9353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bg1"/>
              </a:solidFill>
              <a:latin typeface="MuseoModerno" pitchFamily="2" charset="0"/>
            </a:rPr>
            <a:t>Voltar</a:t>
          </a:r>
        </a:p>
      </xdr:txBody>
    </xdr:sp>
    <xdr:clientData/>
  </xdr:twoCellAnchor>
  <xdr:twoCellAnchor editAs="absolute">
    <xdr:from>
      <xdr:col>3</xdr:col>
      <xdr:colOff>152400</xdr:colOff>
      <xdr:row>0</xdr:row>
      <xdr:rowOff>95250</xdr:rowOff>
    </xdr:from>
    <xdr:to>
      <xdr:col>4</xdr:col>
      <xdr:colOff>358140</xdr:colOff>
      <xdr:row>0</xdr:row>
      <xdr:rowOff>396240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E16AD2F-D430-4E96-8D94-F654A42B72BD}"/>
            </a:ext>
          </a:extLst>
        </xdr:cNvPr>
        <xdr:cNvSpPr/>
      </xdr:nvSpPr>
      <xdr:spPr>
        <a:xfrm>
          <a:off x="4467225" y="85725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Vendas</a:t>
          </a:r>
        </a:p>
      </xdr:txBody>
    </xdr:sp>
    <xdr:clientData/>
  </xdr:twoCellAnchor>
  <xdr:twoCellAnchor editAs="absolute">
    <xdr:from>
      <xdr:col>2</xdr:col>
      <xdr:colOff>1351598</xdr:colOff>
      <xdr:row>0</xdr:row>
      <xdr:rowOff>95250</xdr:rowOff>
    </xdr:from>
    <xdr:to>
      <xdr:col>3</xdr:col>
      <xdr:colOff>56198</xdr:colOff>
      <xdr:row>0</xdr:row>
      <xdr:rowOff>396240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7F5C5270-F703-4959-8D9F-71136CD13561}"/>
            </a:ext>
          </a:extLst>
        </xdr:cNvPr>
        <xdr:cNvSpPr/>
      </xdr:nvSpPr>
      <xdr:spPr>
        <a:xfrm>
          <a:off x="3395663" y="85725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Vendedores</a:t>
          </a:r>
        </a:p>
      </xdr:txBody>
    </xdr:sp>
    <xdr:clientData/>
  </xdr:twoCellAnchor>
  <xdr:twoCellAnchor editAs="absolute">
    <xdr:from>
      <xdr:col>2</xdr:col>
      <xdr:colOff>285750</xdr:colOff>
      <xdr:row>0</xdr:row>
      <xdr:rowOff>95250</xdr:rowOff>
    </xdr:from>
    <xdr:to>
      <xdr:col>2</xdr:col>
      <xdr:colOff>1255395</xdr:colOff>
      <xdr:row>0</xdr:row>
      <xdr:rowOff>396240</xdr:rowOff>
    </xdr:to>
    <xdr:sp macro="" textlink="">
      <xdr:nvSpPr>
        <xdr:cNvPr id="7" name="Retângulo: Cantos Arredondados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4F05AB9-4EF5-485F-A10E-4B5B41E0590A}"/>
            </a:ext>
          </a:extLst>
        </xdr:cNvPr>
        <xdr:cNvSpPr/>
      </xdr:nvSpPr>
      <xdr:spPr>
        <a:xfrm>
          <a:off x="2324100" y="85725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Produtos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91440</xdr:colOff>
      <xdr:row>0</xdr:row>
      <xdr:rowOff>76200</xdr:rowOff>
    </xdr:from>
    <xdr:to>
      <xdr:col>0</xdr:col>
      <xdr:colOff>473709</xdr:colOff>
      <xdr:row>0</xdr:row>
      <xdr:rowOff>473709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4EA7978-4266-437F-879D-423B85D16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" y="76200"/>
          <a:ext cx="386079" cy="38607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1</xdr:rowOff>
    </xdr:from>
    <xdr:to>
      <xdr:col>22</xdr:col>
      <xdr:colOff>9525</xdr:colOff>
      <xdr:row>5</xdr:row>
      <xdr:rowOff>49990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A577B8C-A23D-DB82-E232-44F2916044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47651"/>
          <a:ext cx="2943225" cy="421464"/>
        </a:xfrm>
        <a:prstGeom prst="rect">
          <a:avLst/>
        </a:prstGeom>
      </xdr:spPr>
    </xdr:pic>
    <xdr:clientData/>
  </xdr:twoCellAnchor>
  <xdr:twoCellAnchor>
    <xdr:from>
      <xdr:col>1</xdr:col>
      <xdr:colOff>109286</xdr:colOff>
      <xdr:row>27</xdr:row>
      <xdr:rowOff>5514</xdr:rowOff>
    </xdr:from>
    <xdr:to>
      <xdr:col>39</xdr:col>
      <xdr:colOff>114300</xdr:colOff>
      <xdr:row>45</xdr:row>
      <xdr:rowOff>114300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D7228540-EF04-6148-8E56-6F75274037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6349</xdr:colOff>
      <xdr:row>10</xdr:row>
      <xdr:rowOff>9525</xdr:rowOff>
    </xdr:from>
    <xdr:to>
      <xdr:col>79</xdr:col>
      <xdr:colOff>123824</xdr:colOff>
      <xdr:row>23</xdr:row>
      <xdr:rowOff>114300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D0A8B6F-605C-EE3B-4CE0-F628988AE1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54</xdr:col>
      <xdr:colOff>97753</xdr:colOff>
      <xdr:row>27</xdr:row>
      <xdr:rowOff>32121</xdr:rowOff>
    </xdr:from>
    <xdr:to>
      <xdr:col>67</xdr:col>
      <xdr:colOff>28914</xdr:colOff>
      <xdr:row>45</xdr:row>
      <xdr:rowOff>74871</xdr:rowOff>
    </xdr:to>
    <xdr:graphicFrame macro="">
      <xdr:nvGraphicFramePr>
        <xdr:cNvPr id="8" name="Gráfico 5">
          <a:extLst>
            <a:ext uri="{FF2B5EF4-FFF2-40B4-BE49-F238E27FC236}">
              <a16:creationId xmlns:a16="http://schemas.microsoft.com/office/drawing/2014/main" id="{26CC0C20-8D6B-9CF3-8A51-0AD2AC6148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67</xdr:col>
      <xdr:colOff>50799</xdr:colOff>
      <xdr:row>27</xdr:row>
      <xdr:rowOff>32121</xdr:rowOff>
    </xdr:from>
    <xdr:to>
      <xdr:col>79</xdr:col>
      <xdr:colOff>116349</xdr:colOff>
      <xdr:row>45</xdr:row>
      <xdr:rowOff>76081</xdr:rowOff>
    </xdr:to>
    <xdr:graphicFrame macro="">
      <xdr:nvGraphicFramePr>
        <xdr:cNvPr id="6" name="Gráfico 7">
          <a:extLst>
            <a:ext uri="{FF2B5EF4-FFF2-40B4-BE49-F238E27FC236}">
              <a16:creationId xmlns:a16="http://schemas.microsoft.com/office/drawing/2014/main" id="{92114342-97CA-FF22-11FA-330A7E82CC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11907</xdr:colOff>
      <xdr:row>27</xdr:row>
      <xdr:rowOff>32121</xdr:rowOff>
    </xdr:from>
    <xdr:to>
      <xdr:col>54</xdr:col>
      <xdr:colOff>75869</xdr:colOff>
      <xdr:row>45</xdr:row>
      <xdr:rowOff>78046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768CEE2B-7354-F6A0-6184-F367FE4A3E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44</xdr:col>
      <xdr:colOff>127000</xdr:colOff>
      <xdr:row>34</xdr:row>
      <xdr:rowOff>109537</xdr:rowOff>
    </xdr:from>
    <xdr:to>
      <xdr:col>51</xdr:col>
      <xdr:colOff>80963</xdr:colOff>
      <xdr:row>41</xdr:row>
      <xdr:rowOff>17463</xdr:rowOff>
    </xdr:to>
    <xdr:sp macro="" textlink="'Dados para Gráficos'!J2">
      <xdr:nvSpPr>
        <xdr:cNvPr id="5" name="CaixaDeTexto 4">
          <a:extLst>
            <a:ext uri="{FF2B5EF4-FFF2-40B4-BE49-F238E27FC236}">
              <a16:creationId xmlns:a16="http://schemas.microsoft.com/office/drawing/2014/main" id="{0967A517-B9CD-4742-8AE9-F76359CEF82E}"/>
            </a:ext>
          </a:extLst>
        </xdr:cNvPr>
        <xdr:cNvSpPr txBox="1"/>
      </xdr:nvSpPr>
      <xdr:spPr>
        <a:xfrm>
          <a:off x="5994400" y="4319587"/>
          <a:ext cx="887413" cy="7747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F207FCFD-094D-4EAB-98EE-9BA4A08165AC}" type="TxLink">
            <a:rPr lang="en-US" sz="2400" b="1" i="0" u="none" strike="noStrike">
              <a:solidFill>
                <a:srgbClr val="F87F46"/>
              </a:solidFill>
              <a:latin typeface="Calibri"/>
              <a:ea typeface="Calibri"/>
              <a:cs typeface="Calibri"/>
            </a:rPr>
            <a:pPr marL="0" indent="0" algn="ctr"/>
            <a:t>#DIV/0!</a:t>
          </a:fld>
          <a:endParaRPr lang="pt-BR" sz="2400" b="1" i="0" u="none" strike="noStrike">
            <a:solidFill>
              <a:srgbClr val="F87F46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57</xdr:col>
      <xdr:colOff>98425</xdr:colOff>
      <xdr:row>34</xdr:row>
      <xdr:rowOff>109537</xdr:rowOff>
    </xdr:from>
    <xdr:to>
      <xdr:col>64</xdr:col>
      <xdr:colOff>52388</xdr:colOff>
      <xdr:row>41</xdr:row>
      <xdr:rowOff>17463</xdr:rowOff>
    </xdr:to>
    <xdr:sp macro="" textlink="'Dados para Gráficos'!J3">
      <xdr:nvSpPr>
        <xdr:cNvPr id="14" name="CaixaDeTexto 13">
          <a:extLst>
            <a:ext uri="{FF2B5EF4-FFF2-40B4-BE49-F238E27FC236}">
              <a16:creationId xmlns:a16="http://schemas.microsoft.com/office/drawing/2014/main" id="{9AF33804-2FD2-483F-B356-DE7FEC43833B}"/>
            </a:ext>
          </a:extLst>
        </xdr:cNvPr>
        <xdr:cNvSpPr txBox="1"/>
      </xdr:nvSpPr>
      <xdr:spPr>
        <a:xfrm>
          <a:off x="7699375" y="4319587"/>
          <a:ext cx="887413" cy="7747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02E9ABE2-B87E-4D40-AAE0-8073C93DDA88}" type="TxLink">
            <a:rPr lang="en-US" sz="2400" b="1" i="0" u="none" strike="noStrike">
              <a:solidFill>
                <a:srgbClr val="EE6471"/>
              </a:solidFill>
              <a:latin typeface="Calibri"/>
              <a:ea typeface="Calibri"/>
              <a:cs typeface="Calibri"/>
            </a:rPr>
            <a:pPr marL="0" indent="0" algn="ctr"/>
            <a:t>#DIV/0!</a:t>
          </a:fld>
          <a:endParaRPr lang="pt-BR" sz="4800" b="1" i="0" u="none" strike="noStrike">
            <a:solidFill>
              <a:srgbClr val="EE647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70</xdr:col>
      <xdr:colOff>31750</xdr:colOff>
      <xdr:row>34</xdr:row>
      <xdr:rowOff>100012</xdr:rowOff>
    </xdr:from>
    <xdr:to>
      <xdr:col>76</xdr:col>
      <xdr:colOff>119063</xdr:colOff>
      <xdr:row>41</xdr:row>
      <xdr:rowOff>7938</xdr:rowOff>
    </xdr:to>
    <xdr:sp macro="" textlink="'Dados para Gráficos'!J4">
      <xdr:nvSpPr>
        <xdr:cNvPr id="15" name="CaixaDeTexto 14">
          <a:extLst>
            <a:ext uri="{FF2B5EF4-FFF2-40B4-BE49-F238E27FC236}">
              <a16:creationId xmlns:a16="http://schemas.microsoft.com/office/drawing/2014/main" id="{17548AA3-9D11-4A7A-ACBE-DA32BAD37C57}"/>
            </a:ext>
          </a:extLst>
        </xdr:cNvPr>
        <xdr:cNvSpPr txBox="1"/>
      </xdr:nvSpPr>
      <xdr:spPr>
        <a:xfrm>
          <a:off x="9366250" y="4310062"/>
          <a:ext cx="887413" cy="7747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C33498DB-30FC-4C4C-BF4E-F0526C1F1444}" type="TxLink">
            <a:rPr lang="en-US" sz="2400" b="1" i="0" u="none" strike="noStrike">
              <a:solidFill>
                <a:srgbClr val="9353FF"/>
              </a:solidFill>
              <a:latin typeface="Calibri"/>
              <a:ea typeface="Calibri"/>
              <a:cs typeface="Calibri"/>
            </a:rPr>
            <a:pPr marL="0" indent="0" algn="ctr"/>
            <a:t>#DIV/0!</a:t>
          </a:fld>
          <a:endParaRPr lang="pt-BR" sz="4800" b="1" i="0" u="none" strike="noStrike">
            <a:solidFill>
              <a:srgbClr val="9353FF"/>
            </a:solidFill>
            <a:latin typeface="Calibri"/>
            <a:ea typeface="Calibri"/>
            <a:cs typeface="Calibri"/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0AC111B-A369-4C0B-9503-7C5B9442DAEA}" name="TB_Produtos" displayName="TB_Produtos" ref="B6:G66" totalsRowShown="0" headerRowDxfId="38" dataDxfId="37">
  <autoFilter ref="B6:G66" xr:uid="{40AC111B-A369-4C0B-9503-7C5B9442DAE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sortState xmlns:xlrd2="http://schemas.microsoft.com/office/spreadsheetml/2017/richdata2" ref="B7:G66">
    <sortCondition ref="B7:B66"/>
  </sortState>
  <tableColumns count="6">
    <tableColumn id="1" xr3:uid="{2F8ED5FF-48A1-488E-9DF1-FE060F71A415}" name="Código" dataDxfId="36"/>
    <tableColumn id="2" xr3:uid="{E100D4E2-C3A0-43FF-A1D9-90A4BC2A9918}" name="Produtos" dataDxfId="35"/>
    <tableColumn id="3" xr3:uid="{2EF7FEE0-6B6F-4534-86A0-46B6555B7BEF}" name="Tamanho" dataDxfId="34"/>
    <tableColumn id="4" xr3:uid="{4435A4B8-E7F0-4D66-A4F8-6A9FEAA36D5A}" name="Categoria" dataDxfId="33"/>
    <tableColumn id="6" xr3:uid="{15F9CACC-A558-4A20-80CF-C2ADA2603221}" name="Estoque" dataDxfId="32"/>
    <tableColumn id="5" xr3:uid="{CA8AD0DE-58EC-4839-85FB-1DD75DA28087}" name="Preço Unitário" dataDxfId="31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BDDECB-74EA-4CAF-BF6A-3D08FA2248A6}" name="TB_Vendedor" displayName="TB_Vendedor" ref="C5:F10" totalsRowShown="0" headerRowDxfId="30" headerRowBorderDxfId="29" tableBorderDxfId="28" totalsRowBorderDxfId="27" headerRowCellStyle="Cabeçalho Meteora">
  <autoFilter ref="C5:F10" xr:uid="{92BDDECB-74EA-4CAF-BF6A-3D08FA2248A6}">
    <filterColumn colId="0" hiddenButton="1"/>
    <filterColumn colId="1" hiddenButton="1"/>
    <filterColumn colId="2" hiddenButton="1"/>
    <filterColumn colId="3" hiddenButton="1"/>
  </autoFilter>
  <tableColumns count="4">
    <tableColumn id="1" xr3:uid="{2CB7BA6B-D54F-4652-8B77-FEDE913880BD}" name="Código" dataDxfId="26"/>
    <tableColumn id="2" xr3:uid="{A442FF19-090D-4CCD-9930-C21CAE8F946B}" name="Vendedor" dataDxfId="25"/>
    <tableColumn id="3" xr3:uid="{81785A68-7D2A-4206-8EA0-9347E0B44E46}" name="Cidade" dataDxfId="24"/>
    <tableColumn id="4" xr3:uid="{33E72356-7286-493F-82BE-8C402A9CBC92}" name="Desc. Máximo" dataDxfId="23" dataCellStyle="Porcentagem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D739091-30BD-4C30-BDDA-7504C0C4B6E2}" name="TB_Vendas" displayName="TB_Vendas" ref="A4:N86" totalsRowShown="0" headerRowDxfId="22" dataDxfId="21" headerRowCellStyle="Cabeçalho Meteora">
  <autoFilter ref="A4:N86" xr:uid="{AD739091-30BD-4C30-BDDA-7504C0C4B6E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7" xr3:uid="{5E8DE7C3-CDB6-4314-A5CC-C44D3C21973F}" name="Nº" dataDxfId="20">
      <calculatedColumnFormula>MONTH(TB_Vendas[[#This Row],[Data]])</calculatedColumnFormula>
    </tableColumn>
    <tableColumn id="10" xr3:uid="{BD1ABB49-B48B-4C50-A034-45488FDC03A8}" name="Mês" dataDxfId="19">
      <calculatedColumnFormula>PROPER(TEXT(DATE(,TB_Vendas[[#This Row],[Nº]],1),"Mmm"))</calculatedColumnFormula>
    </tableColumn>
    <tableColumn id="1" xr3:uid="{43632F1F-6978-4CE7-BB13-7CCE587D6821}" name="Data" dataDxfId="18"/>
    <tableColumn id="12" xr3:uid="{205A55AB-454E-4288-AE23-042C3C399E7A}" name="Código" dataDxfId="17"/>
    <tableColumn id="11" xr3:uid="{40FB059F-EE80-4CAA-BF26-E7B46EE120BA}" name="Categoria" dataDxfId="10">
      <calculatedColumnFormula>_xlfn.XLOOKUP(TB_Vendas[[#This Row],[Código]],TB_Produtos[Código],TB_Produtos[Categoria])</calculatedColumnFormula>
    </tableColumn>
    <tableColumn id="5" xr3:uid="{7DC2ADED-AF8A-4BC8-A38E-FEF676FE49C9}" name="Qtd" dataDxfId="16"/>
    <tableColumn id="9" xr3:uid="{05B7315B-2774-41BC-AFEC-4A19E452D6C7}" name="Preço Unitário" dataDxfId="2">
      <calculatedColumnFormula>_xlfn.XLOOKUP(TB_Vendas[[#This Row],[Código]],TB_Produtos[Código],TB_Produtos[Preço Unitário])</calculatedColumnFormula>
    </tableColumn>
    <tableColumn id="14" xr3:uid="{64298C1E-AAA1-440F-82AF-EC7082B92EDD}" name="Índece" dataDxfId="1">
      <calculatedColumnFormula>_xlfn.XMATCH(TB_Vendas[[#This Row],[Categoria]],'Cadastros Auxiliares'!$B$8:$E$8,0)</calculatedColumnFormula>
    </tableColumn>
    <tableColumn id="13" xr3:uid="{28310324-DE98-42AF-ADDC-209319FC17CC}" name="Desconto _x000a_(Passo a Passo)" dataDxfId="0" dataCellStyle="Porcentagem">
      <calculatedColumnFormula>VLOOKUP(TB_Vendas[[#This Row],[Qtd]],'Cadastros Auxiliares'!$B$8:$E$13,Vendas!H5,TRUE)</calculatedColumnFormula>
    </tableColumn>
    <tableColumn id="2" xr3:uid="{4BEBDE19-FA81-4412-AC83-E0AE6998A9B4}" name="Desconto _x000a_(Diretão)" dataDxfId="15" dataCellStyle="Porcentagem">
      <calculatedColumnFormula array="1">INDEX('Cadastros Auxiliares'!$B$8:$E$13,_xlfn.XMATCH(TB_Vendas[[#This Row],[Qtd]],'Cadastros Auxiliares'!$B$8:$B$13,-1),_xlfn.XMATCH(_xlfn.XLOOKUP(TB_Vendas[[#This Row],[Código]],TB_Produtos[Código],TB_Produtos[Categoria]),'Cadastros Auxiliares'!$B$8:$E$8,0))</calculatedColumnFormula>
    </tableColumn>
    <tableColumn id="3" xr3:uid="{966BFC56-48CD-4FA1-A82F-E522962BDAC3}" name="Desconto _x000a_(Vendedor)" dataDxfId="14" dataCellStyle="Porcentagem">
      <calculatedColumnFormula>_xlfn.XLOOKUP(TB_Vendas[[#This Row],[Vendedor]],TB_Vendedor[Código],TB_Vendedor[Desc. Máximo])</calculatedColumnFormula>
    </tableColumn>
    <tableColumn id="4" xr3:uid="{7AD5328B-FE80-47BD-BEBB-E139935F60DA}" name="Desconto Final" dataDxfId="13" dataCellStyle="Porcentagem">
      <calculatedColumnFormula>IF(TB_Vendas[[#This Row],[Desconto 
(Diretão)]]&lt;=TB_Vendas[[#This Row],[Desconto 
(Vendedor)]],TB_Vendas[[#This Row],[Desconto 
(Diretão)]],TB_Vendas[[#This Row],[Desconto 
(Vendedor)]])</calculatedColumnFormula>
    </tableColumn>
    <tableColumn id="6" xr3:uid="{9459B662-6A4F-4486-82B1-12F67B8F842E}" name="Total" dataDxfId="12">
      <calculatedColumnFormula>TB_Vendas[[#This Row],[Preço Unitário]]*TB_Vendas[[#This Row],[Qtd]]</calculatedColumnFormula>
    </tableColumn>
    <tableColumn id="8" xr3:uid="{192FEBCA-1287-48A6-9BE6-69528F71C305}" name="Vendedor" dataDxfId="1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Loja Meteor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000000"/>
      </a:accent1>
      <a:accent2>
        <a:srgbClr val="DAFF01"/>
      </a:accent2>
      <a:accent3>
        <a:srgbClr val="CCCCCC"/>
      </a:accent3>
      <a:accent4>
        <a:srgbClr val="F87F46"/>
      </a:accent4>
      <a:accent5>
        <a:srgbClr val="EE6471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18459-A54B-43BC-8015-18FA787E0663}">
  <dimension ref="A1:L16"/>
  <sheetViews>
    <sheetView workbookViewId="0">
      <selection activeCell="J14" sqref="J14"/>
    </sheetView>
  </sheetViews>
  <sheetFormatPr defaultColWidth="0" defaultRowHeight="14.4" zeroHeight="1"/>
  <cols>
    <col min="1" max="5" width="8.88671875" style="32" customWidth="1"/>
    <col min="6" max="12" width="8.88671875" customWidth="1"/>
    <col min="13" max="16384" width="8.88671875" hidden="1"/>
  </cols>
  <sheetData>
    <row r="1" spans="1:12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</row>
    <row r="2" spans="1:12">
      <c r="A2" s="96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</row>
    <row r="3" spans="1:12">
      <c r="A3" s="96"/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</row>
    <row r="4" spans="1:12">
      <c r="A4" s="96"/>
      <c r="B4" s="96"/>
      <c r="C4" s="96"/>
      <c r="D4" s="96"/>
      <c r="E4" s="96"/>
      <c r="F4" s="96"/>
      <c r="G4" s="96"/>
      <c r="H4" s="96"/>
      <c r="I4" s="96"/>
      <c r="J4" s="96"/>
      <c r="K4" s="96"/>
      <c r="L4" s="96"/>
    </row>
    <row r="5" spans="1:12">
      <c r="A5" s="96"/>
      <c r="B5" s="96"/>
      <c r="C5" s="96"/>
      <c r="D5" s="96"/>
      <c r="E5" s="96"/>
      <c r="F5" s="96"/>
      <c r="G5" s="96"/>
      <c r="H5" s="96"/>
      <c r="I5" s="96"/>
      <c r="J5" s="96"/>
      <c r="K5" s="96"/>
      <c r="L5" s="96"/>
    </row>
    <row r="6" spans="1:12">
      <c r="A6" s="96"/>
      <c r="B6" s="96"/>
      <c r="C6" s="96"/>
      <c r="D6" s="96"/>
      <c r="E6" s="96"/>
      <c r="F6" s="96"/>
      <c r="G6" s="96"/>
      <c r="H6" s="96"/>
      <c r="I6" s="96"/>
      <c r="J6" s="96"/>
      <c r="K6" s="96"/>
      <c r="L6" s="96"/>
    </row>
    <row r="7" spans="1:12">
      <c r="F7" s="32"/>
      <c r="G7" s="32"/>
      <c r="H7" s="32"/>
      <c r="I7" s="32"/>
      <c r="J7" s="32"/>
      <c r="K7" s="32"/>
      <c r="L7" s="32"/>
    </row>
    <row r="8" spans="1:12">
      <c r="F8" s="32"/>
      <c r="G8" s="32"/>
      <c r="H8" s="32"/>
      <c r="I8" s="32"/>
      <c r="J8" s="32"/>
      <c r="K8" s="32"/>
      <c r="L8" s="32"/>
    </row>
    <row r="9" spans="1:12">
      <c r="F9" s="32"/>
      <c r="G9" s="32"/>
      <c r="H9" s="32"/>
      <c r="I9" s="32"/>
      <c r="J9" s="32"/>
      <c r="K9" s="32"/>
      <c r="L9" s="32"/>
    </row>
    <row r="10" spans="1:12">
      <c r="F10" s="32"/>
      <c r="G10" s="32"/>
      <c r="H10" s="32"/>
      <c r="I10" s="32"/>
      <c r="J10" s="32"/>
      <c r="K10" s="32"/>
      <c r="L10" s="32"/>
    </row>
    <row r="11" spans="1:12">
      <c r="F11" s="32"/>
      <c r="G11" s="32"/>
      <c r="H11" s="32"/>
      <c r="I11" s="32"/>
      <c r="J11" s="32"/>
      <c r="K11" s="32"/>
      <c r="L11" s="32"/>
    </row>
    <row r="12" spans="1:12">
      <c r="F12" s="32"/>
      <c r="G12" s="32"/>
      <c r="H12" s="32"/>
      <c r="I12" s="32"/>
      <c r="J12" s="32"/>
      <c r="K12" s="32"/>
      <c r="L12" s="32"/>
    </row>
    <row r="13" spans="1:12">
      <c r="F13" s="32"/>
      <c r="G13" s="32"/>
      <c r="H13" s="32"/>
      <c r="I13" s="32"/>
      <c r="J13" s="32"/>
      <c r="K13" s="32"/>
      <c r="L13" s="32"/>
    </row>
    <row r="14" spans="1:12">
      <c r="F14" s="32"/>
      <c r="G14" s="32"/>
      <c r="H14" s="32"/>
      <c r="I14" s="32"/>
      <c r="J14" s="32"/>
      <c r="K14" s="32"/>
      <c r="L14" s="32"/>
    </row>
    <row r="15" spans="1:12">
      <c r="F15" s="32"/>
      <c r="G15" s="32"/>
      <c r="H15" s="32"/>
      <c r="I15" s="32"/>
      <c r="J15" s="32"/>
      <c r="K15" s="32"/>
      <c r="L15" s="32"/>
    </row>
    <row r="16" spans="1:12">
      <c r="F16" s="32"/>
      <c r="G16" s="32"/>
      <c r="H16" s="32"/>
      <c r="I16" s="32"/>
      <c r="J16" s="32"/>
      <c r="K16" s="32"/>
      <c r="L16" s="32"/>
    </row>
  </sheetData>
  <sheetProtection sheet="1" objects="1" scenarios="1" selectLockedCells="1"/>
  <mergeCells count="1">
    <mergeCell ref="A1:L6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DA2D8-DE9E-4ACF-B5A7-8907124C5CF1}">
  <dimension ref="A1:I67"/>
  <sheetViews>
    <sheetView showGridLines="0" tabSelected="1" zoomScale="140" zoomScaleNormal="140" workbookViewId="0">
      <selection activeCell="A68" sqref="A68:XFD1048576"/>
    </sheetView>
  </sheetViews>
  <sheetFormatPr defaultColWidth="0" defaultRowHeight="14.4" zeroHeight="1"/>
  <cols>
    <col min="1" max="1" width="8.44140625" customWidth="1"/>
    <col min="2" max="2" width="18.33203125" bestFit="1" customWidth="1"/>
    <col min="3" max="3" width="22.6640625" style="1" customWidth="1"/>
    <col min="4" max="4" width="14" bestFit="1" customWidth="1"/>
    <col min="5" max="5" width="17.109375" style="1" bestFit="1" customWidth="1"/>
    <col min="6" max="6" width="13.109375" customWidth="1"/>
    <col min="7" max="7" width="22.88671875" bestFit="1" customWidth="1"/>
    <col min="8" max="8" width="8.88671875" customWidth="1"/>
    <col min="9" max="16384" width="8.88671875" hidden="1"/>
  </cols>
  <sheetData>
    <row r="1" spans="1:9" s="32" customFormat="1" ht="40.200000000000003" customHeight="1">
      <c r="A1" s="35"/>
      <c r="B1" s="39" t="s">
        <v>133</v>
      </c>
      <c r="C1" s="39"/>
      <c r="D1" s="39"/>
      <c r="E1" s="54"/>
      <c r="F1" s="39"/>
      <c r="G1" s="39"/>
      <c r="H1" s="37"/>
      <c r="I1" s="37"/>
    </row>
    <row r="2" spans="1:9" s="33" customFormat="1" ht="4.5" customHeight="1">
      <c r="A2" s="36"/>
      <c r="B2" s="36"/>
      <c r="C2" s="36"/>
      <c r="D2" s="36"/>
      <c r="E2" s="36"/>
      <c r="F2" s="36"/>
    </row>
    <row r="3" spans="1:9" ht="4.5" customHeight="1">
      <c r="A3" s="34"/>
      <c r="B3" s="34"/>
      <c r="C3" s="34"/>
      <c r="D3" s="34"/>
      <c r="E3" s="34"/>
      <c r="F3" s="34"/>
    </row>
    <row r="4" spans="1:9" ht="18" customHeight="1">
      <c r="A4" s="38"/>
      <c r="B4" s="38"/>
      <c r="D4" s="34"/>
      <c r="E4" s="34"/>
      <c r="F4" s="34"/>
    </row>
    <row r="5" spans="1:9" ht="4.95" customHeight="1">
      <c r="A5" s="34"/>
      <c r="B5" s="34"/>
      <c r="C5" s="34"/>
      <c r="D5" s="34"/>
      <c r="E5" s="34"/>
      <c r="F5" s="34"/>
    </row>
    <row r="6" spans="1:9" s="1" customFormat="1" ht="18">
      <c r="B6" s="61" t="s">
        <v>30</v>
      </c>
      <c r="C6" s="61" t="s">
        <v>0</v>
      </c>
      <c r="D6" s="61" t="s">
        <v>1</v>
      </c>
      <c r="E6" s="61" t="s">
        <v>10</v>
      </c>
      <c r="F6" s="61" t="s">
        <v>77</v>
      </c>
      <c r="G6" s="61" t="s">
        <v>11</v>
      </c>
      <c r="H6" s="31"/>
    </row>
    <row r="7" spans="1:9">
      <c r="B7" s="62" t="s">
        <v>32</v>
      </c>
      <c r="C7" s="45" t="s">
        <v>5</v>
      </c>
      <c r="D7" s="62" t="s">
        <v>2</v>
      </c>
      <c r="E7" s="62" t="s">
        <v>12</v>
      </c>
      <c r="F7" s="62">
        <v>48</v>
      </c>
      <c r="G7" s="63">
        <v>65.900000000000006</v>
      </c>
    </row>
    <row r="8" spans="1:9">
      <c r="B8" s="62" t="s">
        <v>33</v>
      </c>
      <c r="C8" s="45" t="s">
        <v>5</v>
      </c>
      <c r="D8" s="62" t="s">
        <v>3</v>
      </c>
      <c r="E8" s="62" t="s">
        <v>12</v>
      </c>
      <c r="F8" s="62">
        <v>17</v>
      </c>
      <c r="G8" s="63">
        <v>69.900000000000006</v>
      </c>
    </row>
    <row r="9" spans="1:9">
      <c r="B9" s="62" t="s">
        <v>34</v>
      </c>
      <c r="C9" s="45" t="s">
        <v>5</v>
      </c>
      <c r="D9" s="62" t="s">
        <v>4</v>
      </c>
      <c r="E9" s="62" t="s">
        <v>12</v>
      </c>
      <c r="F9" s="62">
        <v>37</v>
      </c>
      <c r="G9" s="63">
        <v>70.900000000000006</v>
      </c>
    </row>
    <row r="10" spans="1:9">
      <c r="B10" s="62" t="s">
        <v>35</v>
      </c>
      <c r="C10" s="45" t="s">
        <v>29</v>
      </c>
      <c r="D10" s="62" t="s">
        <v>8</v>
      </c>
      <c r="E10" s="62" t="s">
        <v>13</v>
      </c>
      <c r="F10" s="62">
        <v>6</v>
      </c>
      <c r="G10" s="63">
        <v>145</v>
      </c>
    </row>
    <row r="11" spans="1:9">
      <c r="B11" s="62" t="s">
        <v>36</v>
      </c>
      <c r="C11" s="45" t="s">
        <v>28</v>
      </c>
      <c r="D11" s="62" t="s">
        <v>8</v>
      </c>
      <c r="E11" s="62" t="s">
        <v>13</v>
      </c>
      <c r="F11" s="62">
        <v>21</v>
      </c>
      <c r="G11" s="63">
        <v>259.89999999999998</v>
      </c>
    </row>
    <row r="12" spans="1:9">
      <c r="B12" s="62" t="s">
        <v>37</v>
      </c>
      <c r="C12" s="45" t="s">
        <v>6</v>
      </c>
      <c r="D12" s="62" t="s">
        <v>8</v>
      </c>
      <c r="E12" s="62" t="s">
        <v>13</v>
      </c>
      <c r="F12" s="62">
        <v>23</v>
      </c>
      <c r="G12" s="63">
        <v>39.9</v>
      </c>
    </row>
    <row r="13" spans="1:9">
      <c r="B13" s="62" t="s">
        <v>38</v>
      </c>
      <c r="C13" s="45" t="s">
        <v>23</v>
      </c>
      <c r="D13" s="62" t="s">
        <v>2</v>
      </c>
      <c r="E13" s="62" t="s">
        <v>12</v>
      </c>
      <c r="F13" s="62">
        <v>24</v>
      </c>
      <c r="G13" s="63">
        <v>85.9</v>
      </c>
    </row>
    <row r="14" spans="1:9">
      <c r="B14" s="62" t="s">
        <v>39</v>
      </c>
      <c r="C14" s="45" t="s">
        <v>23</v>
      </c>
      <c r="D14" s="62" t="s">
        <v>3</v>
      </c>
      <c r="E14" s="62" t="s">
        <v>12</v>
      </c>
      <c r="F14" s="62">
        <v>35</v>
      </c>
      <c r="G14" s="63">
        <v>89.9</v>
      </c>
    </row>
    <row r="15" spans="1:9">
      <c r="B15" s="62" t="s">
        <v>40</v>
      </c>
      <c r="C15" s="45" t="s">
        <v>23</v>
      </c>
      <c r="D15" s="62" t="s">
        <v>4</v>
      </c>
      <c r="E15" s="62" t="s">
        <v>12</v>
      </c>
      <c r="F15" s="62">
        <v>47</v>
      </c>
      <c r="G15" s="63">
        <v>92.9</v>
      </c>
    </row>
    <row r="16" spans="1:9">
      <c r="B16" s="62" t="s">
        <v>41</v>
      </c>
      <c r="C16" s="45" t="s">
        <v>26</v>
      </c>
      <c r="D16" s="62" t="s">
        <v>2</v>
      </c>
      <c r="E16" s="62" t="s">
        <v>12</v>
      </c>
      <c r="F16" s="62">
        <v>42</v>
      </c>
      <c r="G16" s="63">
        <v>44.9</v>
      </c>
    </row>
    <row r="17" spans="2:7">
      <c r="B17" s="62" t="s">
        <v>42</v>
      </c>
      <c r="C17" s="45" t="s">
        <v>26</v>
      </c>
      <c r="D17" s="62" t="s">
        <v>3</v>
      </c>
      <c r="E17" s="62" t="s">
        <v>12</v>
      </c>
      <c r="F17" s="62">
        <v>32</v>
      </c>
      <c r="G17" s="63">
        <v>46.9</v>
      </c>
    </row>
    <row r="18" spans="2:7">
      <c r="B18" s="62" t="s">
        <v>43</v>
      </c>
      <c r="C18" s="45" t="s">
        <v>26</v>
      </c>
      <c r="D18" s="62" t="s">
        <v>4</v>
      </c>
      <c r="E18" s="62" t="s">
        <v>12</v>
      </c>
      <c r="F18" s="62">
        <v>45</v>
      </c>
      <c r="G18" s="63">
        <v>48.9</v>
      </c>
    </row>
    <row r="19" spans="2:7">
      <c r="B19" s="62" t="s">
        <v>44</v>
      </c>
      <c r="C19" s="45" t="s">
        <v>18</v>
      </c>
      <c r="D19" s="62" t="s">
        <v>2</v>
      </c>
      <c r="E19" s="62" t="s">
        <v>12</v>
      </c>
      <c r="F19" s="62">
        <v>19</v>
      </c>
      <c r="G19" s="63">
        <v>39.9</v>
      </c>
    </row>
    <row r="20" spans="2:7">
      <c r="B20" s="62" t="s">
        <v>45</v>
      </c>
      <c r="C20" s="45" t="s">
        <v>18</v>
      </c>
      <c r="D20" s="62" t="s">
        <v>3</v>
      </c>
      <c r="E20" s="62" t="s">
        <v>12</v>
      </c>
      <c r="F20" s="62">
        <v>37</v>
      </c>
      <c r="G20" s="63">
        <v>39.9</v>
      </c>
    </row>
    <row r="21" spans="2:7">
      <c r="B21" s="62" t="s">
        <v>46</v>
      </c>
      <c r="C21" s="45" t="s">
        <v>18</v>
      </c>
      <c r="D21" s="62" t="s">
        <v>4</v>
      </c>
      <c r="E21" s="62" t="s">
        <v>12</v>
      </c>
      <c r="F21" s="62">
        <v>16</v>
      </c>
      <c r="G21" s="63">
        <v>42.5</v>
      </c>
    </row>
    <row r="22" spans="2:7">
      <c r="B22" s="62" t="s">
        <v>47</v>
      </c>
      <c r="C22" s="45" t="s">
        <v>9</v>
      </c>
      <c r="D22" s="62" t="s">
        <v>2</v>
      </c>
      <c r="E22" s="62" t="s">
        <v>12</v>
      </c>
      <c r="F22" s="62">
        <v>43</v>
      </c>
      <c r="G22" s="63">
        <v>25.9</v>
      </c>
    </row>
    <row r="23" spans="2:7">
      <c r="B23" s="62" t="s">
        <v>48</v>
      </c>
      <c r="C23" s="45" t="s">
        <v>17</v>
      </c>
      <c r="D23" s="62" t="s">
        <v>3</v>
      </c>
      <c r="E23" s="62" t="s">
        <v>12</v>
      </c>
      <c r="F23" s="62">
        <v>46</v>
      </c>
      <c r="G23" s="63">
        <v>29.9</v>
      </c>
    </row>
    <row r="24" spans="2:7">
      <c r="B24" s="62" t="s">
        <v>49</v>
      </c>
      <c r="C24" s="45" t="s">
        <v>17</v>
      </c>
      <c r="D24" s="62" t="s">
        <v>4</v>
      </c>
      <c r="E24" s="62" t="s">
        <v>12</v>
      </c>
      <c r="F24" s="62">
        <v>40</v>
      </c>
      <c r="G24" s="63">
        <v>32.9</v>
      </c>
    </row>
    <row r="25" spans="2:7">
      <c r="B25" s="62" t="s">
        <v>50</v>
      </c>
      <c r="C25" s="45" t="s">
        <v>7</v>
      </c>
      <c r="D25" s="62" t="s">
        <v>8</v>
      </c>
      <c r="E25" s="62" t="s">
        <v>13</v>
      </c>
      <c r="F25" s="62">
        <v>5</v>
      </c>
      <c r="G25" s="63">
        <v>49.9</v>
      </c>
    </row>
    <row r="26" spans="2:7">
      <c r="B26" s="62" t="s">
        <v>51</v>
      </c>
      <c r="C26" s="45" t="s">
        <v>22</v>
      </c>
      <c r="D26" s="62" t="s">
        <v>2</v>
      </c>
      <c r="E26" s="62" t="s">
        <v>12</v>
      </c>
      <c r="F26" s="62">
        <v>34</v>
      </c>
      <c r="G26" s="63">
        <v>299.89999999999998</v>
      </c>
    </row>
    <row r="27" spans="2:7">
      <c r="B27" s="62" t="s">
        <v>52</v>
      </c>
      <c r="C27" s="45" t="s">
        <v>22</v>
      </c>
      <c r="D27" s="62" t="s">
        <v>3</v>
      </c>
      <c r="E27" s="62" t="s">
        <v>12</v>
      </c>
      <c r="F27" s="62">
        <v>34</v>
      </c>
      <c r="G27" s="63">
        <v>302.89999999999998</v>
      </c>
    </row>
    <row r="28" spans="2:7">
      <c r="B28" s="62" t="s">
        <v>53</v>
      </c>
      <c r="C28" s="45" t="s">
        <v>22</v>
      </c>
      <c r="D28" s="62" t="s">
        <v>4</v>
      </c>
      <c r="E28" s="62" t="s">
        <v>12</v>
      </c>
      <c r="F28" s="62">
        <v>35</v>
      </c>
      <c r="G28" s="63">
        <v>300</v>
      </c>
    </row>
    <row r="29" spans="2:7">
      <c r="B29" s="62" t="s">
        <v>54</v>
      </c>
      <c r="C29" s="45" t="s">
        <v>21</v>
      </c>
      <c r="D29" s="62" t="s">
        <v>2</v>
      </c>
      <c r="E29" s="62" t="s">
        <v>12</v>
      </c>
      <c r="F29" s="62">
        <v>49</v>
      </c>
      <c r="G29" s="63">
        <v>249.9</v>
      </c>
    </row>
    <row r="30" spans="2:7">
      <c r="B30" s="62" t="s">
        <v>55</v>
      </c>
      <c r="C30" s="45" t="s">
        <v>21</v>
      </c>
      <c r="D30" s="62" t="s">
        <v>3</v>
      </c>
      <c r="E30" s="62" t="s">
        <v>12</v>
      </c>
      <c r="F30" s="62">
        <v>16</v>
      </c>
      <c r="G30" s="63">
        <v>259.89999999999998</v>
      </c>
    </row>
    <row r="31" spans="2:7">
      <c r="B31" s="62" t="s">
        <v>56</v>
      </c>
      <c r="C31" s="45" t="s">
        <v>21</v>
      </c>
      <c r="D31" s="62" t="s">
        <v>4</v>
      </c>
      <c r="E31" s="62" t="s">
        <v>12</v>
      </c>
      <c r="F31" s="62">
        <v>41</v>
      </c>
      <c r="G31" s="63">
        <v>299.89999999999998</v>
      </c>
    </row>
    <row r="32" spans="2:7">
      <c r="B32" s="62" t="s">
        <v>57</v>
      </c>
      <c r="C32" s="45" t="s">
        <v>20</v>
      </c>
      <c r="D32" s="62" t="s">
        <v>8</v>
      </c>
      <c r="E32" s="62" t="s">
        <v>13</v>
      </c>
      <c r="F32" s="62">
        <v>32</v>
      </c>
      <c r="G32" s="63">
        <v>349.9</v>
      </c>
    </row>
    <row r="33" spans="2:7">
      <c r="B33" s="62" t="s">
        <v>58</v>
      </c>
      <c r="C33" s="45" t="s">
        <v>19</v>
      </c>
      <c r="D33" s="62" t="s">
        <v>8</v>
      </c>
      <c r="E33" s="62" t="s">
        <v>13</v>
      </c>
      <c r="F33" s="62">
        <v>45</v>
      </c>
      <c r="G33" s="63">
        <v>120</v>
      </c>
    </row>
    <row r="34" spans="2:7">
      <c r="B34" s="62" t="s">
        <v>59</v>
      </c>
      <c r="C34" s="45" t="s">
        <v>27</v>
      </c>
      <c r="D34" s="62">
        <v>36</v>
      </c>
      <c r="E34" s="62" t="s">
        <v>14</v>
      </c>
      <c r="F34" s="62">
        <v>37</v>
      </c>
      <c r="G34" s="63">
        <v>249.9</v>
      </c>
    </row>
    <row r="35" spans="2:7">
      <c r="B35" s="62" t="s">
        <v>60</v>
      </c>
      <c r="C35" s="45" t="s">
        <v>27</v>
      </c>
      <c r="D35" s="62">
        <v>37</v>
      </c>
      <c r="E35" s="62" t="s">
        <v>14</v>
      </c>
      <c r="F35" s="62">
        <v>41</v>
      </c>
      <c r="G35" s="63">
        <v>255</v>
      </c>
    </row>
    <row r="36" spans="2:7">
      <c r="B36" s="62" t="s">
        <v>61</v>
      </c>
      <c r="C36" s="45" t="s">
        <v>27</v>
      </c>
      <c r="D36" s="62">
        <v>38</v>
      </c>
      <c r="E36" s="62" t="s">
        <v>14</v>
      </c>
      <c r="F36" s="62">
        <v>30</v>
      </c>
      <c r="G36" s="63">
        <v>259.89999999999998</v>
      </c>
    </row>
    <row r="37" spans="2:7">
      <c r="B37" s="62" t="s">
        <v>62</v>
      </c>
      <c r="C37" s="45" t="s">
        <v>124</v>
      </c>
      <c r="D37" s="62">
        <v>36</v>
      </c>
      <c r="E37" s="62" t="s">
        <v>14</v>
      </c>
      <c r="F37" s="62">
        <v>27</v>
      </c>
      <c r="G37" s="63">
        <v>245</v>
      </c>
    </row>
    <row r="38" spans="2:7">
      <c r="B38" s="62" t="s">
        <v>63</v>
      </c>
      <c r="C38" s="45" t="s">
        <v>124</v>
      </c>
      <c r="D38" s="62">
        <v>37</v>
      </c>
      <c r="E38" s="62" t="s">
        <v>14</v>
      </c>
      <c r="F38" s="62">
        <v>41</v>
      </c>
      <c r="G38" s="63">
        <v>250</v>
      </c>
    </row>
    <row r="39" spans="2:7">
      <c r="B39" s="62" t="s">
        <v>64</v>
      </c>
      <c r="C39" s="45" t="s">
        <v>124</v>
      </c>
      <c r="D39" s="62">
        <v>38</v>
      </c>
      <c r="E39" s="62" t="s">
        <v>14</v>
      </c>
      <c r="F39" s="62">
        <v>43</v>
      </c>
      <c r="G39" s="63">
        <v>259.89999999999998</v>
      </c>
    </row>
    <row r="40" spans="2:7">
      <c r="B40" s="62" t="s">
        <v>65</v>
      </c>
      <c r="C40" s="45" t="s">
        <v>25</v>
      </c>
      <c r="D40" s="62" t="s">
        <v>2</v>
      </c>
      <c r="E40" s="62" t="s">
        <v>12</v>
      </c>
      <c r="F40" s="62">
        <v>43</v>
      </c>
      <c r="G40" s="63">
        <v>89.9</v>
      </c>
    </row>
    <row r="41" spans="2:7">
      <c r="B41" s="62" t="s">
        <v>66</v>
      </c>
      <c r="C41" s="45" t="s">
        <v>25</v>
      </c>
      <c r="D41" s="62" t="s">
        <v>3</v>
      </c>
      <c r="E41" s="62" t="s">
        <v>12</v>
      </c>
      <c r="F41" s="62">
        <v>18</v>
      </c>
      <c r="G41" s="63">
        <v>91.4</v>
      </c>
    </row>
    <row r="42" spans="2:7">
      <c r="B42" s="62" t="s">
        <v>67</v>
      </c>
      <c r="C42" s="45" t="s">
        <v>25</v>
      </c>
      <c r="D42" s="62" t="s">
        <v>4</v>
      </c>
      <c r="E42" s="62" t="s">
        <v>12</v>
      </c>
      <c r="F42" s="62">
        <v>45</v>
      </c>
      <c r="G42" s="63">
        <v>93.5</v>
      </c>
    </row>
    <row r="43" spans="2:7">
      <c r="B43" s="62" t="s">
        <v>68</v>
      </c>
      <c r="C43" s="45" t="s">
        <v>24</v>
      </c>
      <c r="D43" s="62" t="s">
        <v>2</v>
      </c>
      <c r="E43" s="62" t="s">
        <v>12</v>
      </c>
      <c r="F43" s="62">
        <v>34</v>
      </c>
      <c r="G43" s="63">
        <v>140</v>
      </c>
    </row>
    <row r="44" spans="2:7">
      <c r="B44" s="62" t="s">
        <v>69</v>
      </c>
      <c r="C44" s="45" t="s">
        <v>24</v>
      </c>
      <c r="D44" s="62" t="s">
        <v>3</v>
      </c>
      <c r="E44" s="62" t="s">
        <v>12</v>
      </c>
      <c r="F44" s="62">
        <v>47</v>
      </c>
      <c r="G44" s="63">
        <v>142.9</v>
      </c>
    </row>
    <row r="45" spans="2:7">
      <c r="B45" s="62" t="s">
        <v>70</v>
      </c>
      <c r="C45" s="45" t="s">
        <v>24</v>
      </c>
      <c r="D45" s="62" t="s">
        <v>4</v>
      </c>
      <c r="E45" s="62" t="s">
        <v>12</v>
      </c>
      <c r="F45" s="62">
        <v>50</v>
      </c>
      <c r="G45" s="63">
        <v>146</v>
      </c>
    </row>
    <row r="46" spans="2:7">
      <c r="B46" s="62" t="s">
        <v>96</v>
      </c>
      <c r="C46" s="45" t="s">
        <v>120</v>
      </c>
      <c r="D46" s="62" t="s">
        <v>2</v>
      </c>
      <c r="E46" s="62" t="s">
        <v>12</v>
      </c>
      <c r="F46" s="62">
        <v>16</v>
      </c>
      <c r="G46" s="64">
        <v>70</v>
      </c>
    </row>
    <row r="47" spans="2:7">
      <c r="B47" s="62" t="s">
        <v>97</v>
      </c>
      <c r="C47" s="45" t="s">
        <v>120</v>
      </c>
      <c r="D47" s="62" t="s">
        <v>3</v>
      </c>
      <c r="E47" s="62" t="s">
        <v>12</v>
      </c>
      <c r="F47" s="62">
        <v>21</v>
      </c>
      <c r="G47" s="64">
        <v>54.9</v>
      </c>
    </row>
    <row r="48" spans="2:7">
      <c r="B48" s="62" t="s">
        <v>98</v>
      </c>
      <c r="C48" s="45" t="s">
        <v>120</v>
      </c>
      <c r="D48" s="62" t="s">
        <v>4</v>
      </c>
      <c r="E48" s="62" t="s">
        <v>12</v>
      </c>
      <c r="F48" s="62">
        <v>43</v>
      </c>
      <c r="G48" s="64">
        <v>54.9</v>
      </c>
    </row>
    <row r="49" spans="2:7">
      <c r="B49" s="62" t="s">
        <v>99</v>
      </c>
      <c r="C49" s="45" t="s">
        <v>100</v>
      </c>
      <c r="D49" s="62" t="s">
        <v>2</v>
      </c>
      <c r="E49" s="62" t="s">
        <v>12</v>
      </c>
      <c r="F49" s="62">
        <v>10</v>
      </c>
      <c r="G49" s="64">
        <v>72.5</v>
      </c>
    </row>
    <row r="50" spans="2:7">
      <c r="B50" s="62" t="s">
        <v>101</v>
      </c>
      <c r="C50" s="45" t="s">
        <v>100</v>
      </c>
      <c r="D50" s="62" t="s">
        <v>3</v>
      </c>
      <c r="E50" s="62" t="s">
        <v>12</v>
      </c>
      <c r="F50" s="62">
        <v>41</v>
      </c>
      <c r="G50" s="64">
        <v>72.5</v>
      </c>
    </row>
    <row r="51" spans="2:7">
      <c r="B51" s="62" t="s">
        <v>102</v>
      </c>
      <c r="C51" s="45" t="s">
        <v>100</v>
      </c>
      <c r="D51" s="62" t="s">
        <v>4</v>
      </c>
      <c r="E51" s="62" t="s">
        <v>12</v>
      </c>
      <c r="F51" s="62">
        <v>49</v>
      </c>
      <c r="G51" s="64">
        <v>72.5</v>
      </c>
    </row>
    <row r="52" spans="2:7">
      <c r="B52" s="62" t="s">
        <v>103</v>
      </c>
      <c r="C52" s="45" t="s">
        <v>104</v>
      </c>
      <c r="D52" s="62" t="s">
        <v>2</v>
      </c>
      <c r="E52" s="62" t="s">
        <v>12</v>
      </c>
      <c r="F52" s="62">
        <v>15</v>
      </c>
      <c r="G52" s="64">
        <v>289.89999999999998</v>
      </c>
    </row>
    <row r="53" spans="2:7">
      <c r="B53" s="62" t="s">
        <v>105</v>
      </c>
      <c r="C53" s="45" t="s">
        <v>104</v>
      </c>
      <c r="D53" s="62" t="s">
        <v>3</v>
      </c>
      <c r="E53" s="62" t="s">
        <v>12</v>
      </c>
      <c r="F53" s="62">
        <v>34</v>
      </c>
      <c r="G53" s="64">
        <v>289.89999999999998</v>
      </c>
    </row>
    <row r="54" spans="2:7">
      <c r="B54" s="62" t="s">
        <v>106</v>
      </c>
      <c r="C54" s="45" t="s">
        <v>104</v>
      </c>
      <c r="D54" s="62" t="s">
        <v>4</v>
      </c>
      <c r="E54" s="62" t="s">
        <v>12</v>
      </c>
      <c r="F54" s="62">
        <v>21</v>
      </c>
      <c r="G54" s="64">
        <v>289.89999999999998</v>
      </c>
    </row>
    <row r="55" spans="2:7">
      <c r="B55" s="62" t="s">
        <v>107</v>
      </c>
      <c r="C55" s="45" t="s">
        <v>108</v>
      </c>
      <c r="D55" s="62" t="s">
        <v>2</v>
      </c>
      <c r="E55" s="62" t="s">
        <v>12</v>
      </c>
      <c r="F55" s="62">
        <v>40</v>
      </c>
      <c r="G55" s="64">
        <v>32.9</v>
      </c>
    </row>
    <row r="56" spans="2:7">
      <c r="B56" s="62" t="s">
        <v>109</v>
      </c>
      <c r="C56" s="45" t="s">
        <v>108</v>
      </c>
      <c r="D56" s="62" t="s">
        <v>3</v>
      </c>
      <c r="E56" s="62" t="s">
        <v>12</v>
      </c>
      <c r="F56" s="62">
        <v>42</v>
      </c>
      <c r="G56" s="64">
        <v>32.9</v>
      </c>
    </row>
    <row r="57" spans="2:7">
      <c r="B57" s="62" t="s">
        <v>110</v>
      </c>
      <c r="C57" s="45" t="s">
        <v>108</v>
      </c>
      <c r="D57" s="62" t="s">
        <v>4</v>
      </c>
      <c r="E57" s="62" t="s">
        <v>12</v>
      </c>
      <c r="F57" s="62">
        <v>48</v>
      </c>
      <c r="G57" s="64">
        <v>32.9</v>
      </c>
    </row>
    <row r="58" spans="2:7">
      <c r="B58" s="62" t="s">
        <v>111</v>
      </c>
      <c r="C58" s="45" t="s">
        <v>112</v>
      </c>
      <c r="D58" s="62" t="s">
        <v>2</v>
      </c>
      <c r="E58" s="62" t="s">
        <v>12</v>
      </c>
      <c r="F58" s="62">
        <v>35</v>
      </c>
      <c r="G58" s="64">
        <v>49.9</v>
      </c>
    </row>
    <row r="59" spans="2:7">
      <c r="B59" s="62" t="s">
        <v>113</v>
      </c>
      <c r="C59" s="45" t="s">
        <v>112</v>
      </c>
      <c r="D59" s="62" t="s">
        <v>3</v>
      </c>
      <c r="E59" s="62" t="s">
        <v>12</v>
      </c>
      <c r="F59" s="62">
        <v>40</v>
      </c>
      <c r="G59" s="64">
        <v>49.9</v>
      </c>
    </row>
    <row r="60" spans="2:7">
      <c r="B60" s="62" t="s">
        <v>114</v>
      </c>
      <c r="C60" s="45" t="s">
        <v>112</v>
      </c>
      <c r="D60" s="62" t="s">
        <v>4</v>
      </c>
      <c r="E60" s="62" t="s">
        <v>12</v>
      </c>
      <c r="F60" s="62">
        <v>18</v>
      </c>
      <c r="G60" s="64">
        <v>49.9</v>
      </c>
    </row>
    <row r="61" spans="2:7">
      <c r="B61" s="62" t="s">
        <v>115</v>
      </c>
      <c r="C61" s="45" t="s">
        <v>117</v>
      </c>
      <c r="D61" s="62">
        <v>35</v>
      </c>
      <c r="E61" s="62" t="s">
        <v>14</v>
      </c>
      <c r="F61" s="62">
        <v>48</v>
      </c>
      <c r="G61" s="64">
        <v>89.9</v>
      </c>
    </row>
    <row r="62" spans="2:7">
      <c r="B62" s="62" t="s">
        <v>116</v>
      </c>
      <c r="C62" s="45" t="s">
        <v>117</v>
      </c>
      <c r="D62" s="62">
        <v>36</v>
      </c>
      <c r="E62" s="62" t="s">
        <v>14</v>
      </c>
      <c r="F62" s="62">
        <v>38</v>
      </c>
      <c r="G62" s="63">
        <v>89.9</v>
      </c>
    </row>
    <row r="63" spans="2:7">
      <c r="B63" s="62" t="s">
        <v>118</v>
      </c>
      <c r="C63" s="45" t="s">
        <v>117</v>
      </c>
      <c r="D63" s="62">
        <v>37</v>
      </c>
      <c r="E63" s="62" t="s">
        <v>14</v>
      </c>
      <c r="F63" s="62">
        <v>45</v>
      </c>
      <c r="G63" s="63">
        <v>89.9</v>
      </c>
    </row>
    <row r="64" spans="2:7">
      <c r="B64" s="62" t="s">
        <v>119</v>
      </c>
      <c r="C64" s="45" t="s">
        <v>121</v>
      </c>
      <c r="D64" s="62" t="s">
        <v>2</v>
      </c>
      <c r="E64" s="62" t="s">
        <v>12</v>
      </c>
      <c r="F64" s="62">
        <v>40</v>
      </c>
      <c r="G64" s="63">
        <v>180</v>
      </c>
    </row>
    <row r="65" spans="2:7">
      <c r="B65" s="62" t="s">
        <v>122</v>
      </c>
      <c r="C65" s="45" t="s">
        <v>121</v>
      </c>
      <c r="D65" s="62" t="s">
        <v>3</v>
      </c>
      <c r="E65" s="62" t="s">
        <v>12</v>
      </c>
      <c r="F65" s="62">
        <v>0</v>
      </c>
      <c r="G65" s="63">
        <v>180</v>
      </c>
    </row>
    <row r="66" spans="2:7">
      <c r="B66" s="62" t="s">
        <v>123</v>
      </c>
      <c r="C66" s="45" t="s">
        <v>121</v>
      </c>
      <c r="D66" s="62" t="s">
        <v>4</v>
      </c>
      <c r="E66" s="62" t="s">
        <v>12</v>
      </c>
      <c r="F66" s="62">
        <v>35</v>
      </c>
      <c r="G66" s="63">
        <v>180</v>
      </c>
    </row>
    <row r="67" spans="2:7"/>
  </sheetData>
  <phoneticPr fontId="12" type="noConversion"/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DB36B-A116-48A3-A416-7A80B429A8F5}">
  <dimension ref="A1:G11"/>
  <sheetViews>
    <sheetView workbookViewId="0">
      <selection activeCell="D10" sqref="D10"/>
    </sheetView>
  </sheetViews>
  <sheetFormatPr defaultColWidth="0" defaultRowHeight="14.4" zeroHeight="1"/>
  <cols>
    <col min="1" max="1" width="10.44140625" customWidth="1"/>
    <col min="2" max="2" width="12.5546875" customWidth="1"/>
    <col min="3" max="3" width="18.33203125" customWidth="1"/>
    <col min="4" max="4" width="26.88671875" customWidth="1"/>
    <col min="5" max="5" width="27.6640625" customWidth="1"/>
    <col min="6" max="6" width="26.88671875" customWidth="1"/>
    <col min="7" max="7" width="3.33203125" style="79" customWidth="1"/>
    <col min="8" max="16384" width="8.88671875" hidden="1"/>
  </cols>
  <sheetData>
    <row r="1" spans="1:6" s="32" customFormat="1" ht="40.200000000000003" customHeight="1">
      <c r="A1" s="35"/>
      <c r="B1" s="97" t="s">
        <v>133</v>
      </c>
      <c r="C1" s="97"/>
      <c r="D1" s="97"/>
      <c r="E1" s="37"/>
    </row>
    <row r="2" spans="1:6" s="33" customFormat="1" ht="4.5" customHeight="1">
      <c r="A2" s="36"/>
      <c r="B2" s="36"/>
    </row>
    <row r="3" spans="1:6" s="79" customFormat="1" ht="4.5" customHeight="1">
      <c r="A3" s="78"/>
      <c r="B3" s="78"/>
    </row>
    <row r="4" spans="1:6" s="79" customFormat="1"/>
    <row r="5" spans="1:6" ht="22.5" customHeight="1">
      <c r="A5" s="79"/>
      <c r="B5" s="79"/>
      <c r="C5" s="88" t="s">
        <v>30</v>
      </c>
      <c r="D5" s="89" t="s">
        <v>74</v>
      </c>
      <c r="E5" s="89" t="s">
        <v>145</v>
      </c>
      <c r="F5" s="90" t="s">
        <v>146</v>
      </c>
    </row>
    <row r="6" spans="1:6" ht="22.5" customHeight="1">
      <c r="A6" s="79"/>
      <c r="B6" s="79"/>
      <c r="C6" s="86" t="s">
        <v>126</v>
      </c>
      <c r="D6" s="81" t="s">
        <v>73</v>
      </c>
      <c r="E6" s="81" t="s">
        <v>147</v>
      </c>
      <c r="F6" s="87">
        <v>0.2</v>
      </c>
    </row>
    <row r="7" spans="1:6" ht="22.5" customHeight="1">
      <c r="A7" s="79"/>
      <c r="B7" s="79"/>
      <c r="C7" s="86" t="s">
        <v>127</v>
      </c>
      <c r="D7" s="81" t="s">
        <v>75</v>
      </c>
      <c r="E7" s="81" t="s">
        <v>148</v>
      </c>
      <c r="F7" s="87">
        <v>0.25</v>
      </c>
    </row>
    <row r="8" spans="1:6" ht="22.5" customHeight="1">
      <c r="A8" s="79"/>
      <c r="B8" s="79"/>
      <c r="C8" s="86" t="s">
        <v>128</v>
      </c>
      <c r="D8" s="81" t="s">
        <v>72</v>
      </c>
      <c r="E8" s="81" t="s">
        <v>149</v>
      </c>
      <c r="F8" s="87">
        <v>0.1</v>
      </c>
    </row>
    <row r="9" spans="1:6" ht="22.5" customHeight="1">
      <c r="A9" s="79"/>
      <c r="B9" s="79"/>
      <c r="C9" s="86" t="s">
        <v>129</v>
      </c>
      <c r="D9" s="81" t="s">
        <v>131</v>
      </c>
      <c r="E9" s="81" t="s">
        <v>150</v>
      </c>
      <c r="F9" s="87">
        <v>0.2</v>
      </c>
    </row>
    <row r="10" spans="1:6" ht="18">
      <c r="A10" s="79"/>
      <c r="B10" s="79"/>
      <c r="C10" s="91" t="s">
        <v>130</v>
      </c>
      <c r="D10" s="92" t="s">
        <v>132</v>
      </c>
      <c r="E10" s="92" t="s">
        <v>151</v>
      </c>
      <c r="F10" s="93">
        <v>0.15</v>
      </c>
    </row>
    <row r="11" spans="1:6" s="79" customFormat="1"/>
  </sheetData>
  <mergeCells count="1">
    <mergeCell ref="B1:D1"/>
  </mergeCell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34D44-0E29-4A7F-B47B-66AF094D5F9D}">
  <dimension ref="A1:Q87"/>
  <sheetViews>
    <sheetView topLeftCell="B1" zoomScale="140" zoomScaleNormal="140" workbookViewId="0">
      <selection activeCell="L1" sqref="L1"/>
    </sheetView>
  </sheetViews>
  <sheetFormatPr defaultColWidth="0" defaultRowHeight="14.4" zeroHeight="1"/>
  <cols>
    <col min="1" max="1" width="0.33203125" style="1" hidden="1" customWidth="1"/>
    <col min="2" max="2" width="9.77734375" style="1" customWidth="1"/>
    <col min="3" max="3" width="14.44140625" style="1" customWidth="1"/>
    <col min="4" max="5" width="13.77734375" style="1" customWidth="1"/>
    <col min="6" max="6" width="10.109375" bestFit="1" customWidth="1"/>
    <col min="7" max="7" width="22.88671875" bestFit="1" customWidth="1"/>
    <col min="8" max="8" width="9.33203125" bestFit="1" customWidth="1"/>
    <col min="9" max="9" width="22.88671875" customWidth="1"/>
    <col min="10" max="10" width="11.77734375" customWidth="1"/>
    <col min="11" max="11" width="19.109375" customWidth="1"/>
    <col min="12" max="12" width="12.5546875" bestFit="1" customWidth="1"/>
    <col min="13" max="13" width="20.33203125" customWidth="1"/>
    <col min="14" max="14" width="17" bestFit="1" customWidth="1"/>
    <col min="15" max="15" width="1.21875" style="79" customWidth="1"/>
    <col min="16" max="17" width="0" style="79" hidden="1" customWidth="1"/>
    <col min="18" max="16384" width="8.88671875" hidden="1"/>
  </cols>
  <sheetData>
    <row r="1" spans="1:14" s="32" customFormat="1" ht="40.200000000000003" customHeight="1">
      <c r="A1" s="35" t="s">
        <v>168</v>
      </c>
      <c r="C1" s="39" t="s">
        <v>134</v>
      </c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14" s="33" customFormat="1" ht="4.5" customHeight="1">
      <c r="A2" s="36"/>
      <c r="B2" s="36"/>
      <c r="C2" s="36"/>
      <c r="D2" s="36"/>
      <c r="E2" s="36"/>
      <c r="F2" s="36"/>
    </row>
    <row r="3" spans="1:14" s="79" customFormat="1" ht="4.5" customHeight="1">
      <c r="A3" s="78"/>
      <c r="B3" s="78"/>
      <c r="C3" s="78"/>
      <c r="D3" s="78"/>
      <c r="E3" s="78"/>
      <c r="F3" s="78"/>
    </row>
    <row r="4" spans="1:14" ht="32.4">
      <c r="A4" s="10" t="s">
        <v>125</v>
      </c>
      <c r="B4" s="65" t="s">
        <v>31</v>
      </c>
      <c r="C4" s="94" t="s">
        <v>76</v>
      </c>
      <c r="D4" s="94" t="s">
        <v>30</v>
      </c>
      <c r="E4" s="94" t="s">
        <v>10</v>
      </c>
      <c r="F4" s="94" t="s">
        <v>15</v>
      </c>
      <c r="G4" s="94" t="s">
        <v>11</v>
      </c>
      <c r="H4" s="94" t="s">
        <v>171</v>
      </c>
      <c r="I4" s="133" t="s">
        <v>172</v>
      </c>
      <c r="J4" s="133" t="s">
        <v>173</v>
      </c>
      <c r="K4" s="133" t="s">
        <v>174</v>
      </c>
      <c r="L4" s="133" t="s">
        <v>175</v>
      </c>
      <c r="M4" s="95" t="s">
        <v>16</v>
      </c>
      <c r="N4" s="65" t="s">
        <v>74</v>
      </c>
    </row>
    <row r="5" spans="1:14">
      <c r="A5" s="9">
        <f>MONTH(TB_Vendas[[#This Row],[Data]])</f>
        <v>1</v>
      </c>
      <c r="B5" s="66" t="str">
        <f>PROPER(TEXT(DATE(,TB_Vendas[[#This Row],[Nº]],1),"Mmm"))</f>
        <v>Jan</v>
      </c>
      <c r="C5" s="67">
        <v>44931</v>
      </c>
      <c r="D5" s="66" t="s">
        <v>37</v>
      </c>
      <c r="E5" s="66" t="str">
        <f>_xlfn.XLOOKUP(TB_Vendas[[#This Row],[Código]],TB_Produtos[Código],TB_Produtos[Categoria])</f>
        <v>Acessórios</v>
      </c>
      <c r="F5" s="62">
        <v>1</v>
      </c>
      <c r="G5" s="68">
        <f>_xlfn.XLOOKUP(TB_Vendas[[#This Row],[Código]],TB_Produtos[Código],TB_Produtos[Preço Unitário])</f>
        <v>39.9</v>
      </c>
      <c r="H5" s="132">
        <f>_xlfn.XMATCH(TB_Vendas[[#This Row],[Categoria]],'Cadastros Auxiliares'!$B$8:$E$8,0)</f>
        <v>2</v>
      </c>
      <c r="I5" s="69">
        <f>VLOOKUP(TB_Vendas[[#This Row],[Qtd]],'Cadastros Auxiliares'!$B$8:$E$13,Vendas!H5,TRUE)</f>
        <v>0</v>
      </c>
      <c r="J5" s="69" cm="1">
        <f t="array" ref="J5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</v>
      </c>
      <c r="K5" s="69">
        <f>_xlfn.XLOOKUP(TB_Vendas[[#This Row],[Vendedor]],TB_Vendedor[Código],TB_Vendedor[Desc. Máximo])</f>
        <v>0.25</v>
      </c>
      <c r="L5" s="69">
        <f>IF(TB_Vendas[[#This Row],[Desconto 
(Diretão)]]&lt;=TB_Vendas[[#This Row],[Desconto 
(Vendedor)]],TB_Vendas[[#This Row],[Desconto 
(Diretão)]],TB_Vendas[[#This Row],[Desconto 
(Vendedor)]])</f>
        <v>0</v>
      </c>
      <c r="M5" s="63">
        <f>TB_Vendas[[#This Row],[Preço Unitário]]*TB_Vendas[[#This Row],[Qtd]]</f>
        <v>39.9</v>
      </c>
      <c r="N5" s="62" t="s">
        <v>127</v>
      </c>
    </row>
    <row r="6" spans="1:14">
      <c r="A6" s="9">
        <f>MONTH(TB_Vendas[[#This Row],[Data]])</f>
        <v>1</v>
      </c>
      <c r="B6" s="66" t="str">
        <f>PROPER(TEXT(DATE(,TB_Vendas[[#This Row],[Nº]],1),"Mmm"))</f>
        <v>Jan</v>
      </c>
      <c r="C6" s="67">
        <v>44932</v>
      </c>
      <c r="D6" s="66" t="s">
        <v>36</v>
      </c>
      <c r="E6" s="66" t="str">
        <f>_xlfn.XLOOKUP(TB_Vendas[[#This Row],[Código]],TB_Produtos[Código],TB_Produtos[Categoria])</f>
        <v>Acessórios</v>
      </c>
      <c r="F6" s="62">
        <v>1</v>
      </c>
      <c r="G6" s="68">
        <f>_xlfn.XLOOKUP(TB_Vendas[[#This Row],[Código]],TB_Produtos[Código],TB_Produtos[Preço Unitário])</f>
        <v>259.89999999999998</v>
      </c>
      <c r="H6" s="132">
        <f>_xlfn.XMATCH(TB_Vendas[[#This Row],[Categoria]],'Cadastros Auxiliares'!$B$8:$E$8,0)</f>
        <v>2</v>
      </c>
      <c r="I6" s="69">
        <f>VLOOKUP(TB_Vendas[[#This Row],[Qtd]],'Cadastros Auxiliares'!$B$8:$E$13,Vendas!H6,TRUE)</f>
        <v>0</v>
      </c>
      <c r="J6" s="69" cm="1">
        <f t="array" ref="J6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</v>
      </c>
      <c r="K6" s="69">
        <f>_xlfn.XLOOKUP(TB_Vendas[[#This Row],[Vendedor]],TB_Vendedor[Código],TB_Vendedor[Desc. Máximo])</f>
        <v>0.25</v>
      </c>
      <c r="L6" s="69">
        <f>IF(TB_Vendas[[#This Row],[Desconto 
(Diretão)]]&lt;=TB_Vendas[[#This Row],[Desconto 
(Vendedor)]],TB_Vendas[[#This Row],[Desconto 
(Diretão)]],TB_Vendas[[#This Row],[Desconto 
(Vendedor)]])</f>
        <v>0</v>
      </c>
      <c r="M6" s="63">
        <f>TB_Vendas[[#This Row],[Preço Unitário]]*TB_Vendas[[#This Row],[Qtd]]</f>
        <v>259.89999999999998</v>
      </c>
      <c r="N6" s="62" t="s">
        <v>127</v>
      </c>
    </row>
    <row r="7" spans="1:14">
      <c r="A7" s="9">
        <f>MONTH(TB_Vendas[[#This Row],[Data]])</f>
        <v>1</v>
      </c>
      <c r="B7" s="66" t="str">
        <f>PROPER(TEXT(DATE(,TB_Vendas[[#This Row],[Nº]],1),"Mmm"))</f>
        <v>Jan</v>
      </c>
      <c r="C7" s="67">
        <v>44933</v>
      </c>
      <c r="D7" s="66" t="s">
        <v>110</v>
      </c>
      <c r="E7" s="66" t="str">
        <f>_xlfn.XLOOKUP(TB_Vendas[[#This Row],[Código]],TB_Produtos[Código],TB_Produtos[Categoria])</f>
        <v>Vestuário</v>
      </c>
      <c r="F7" s="62">
        <v>2</v>
      </c>
      <c r="G7" s="68">
        <f>_xlfn.XLOOKUP(TB_Vendas[[#This Row],[Código]],TB_Produtos[Código],TB_Produtos[Preço Unitário])</f>
        <v>32.9</v>
      </c>
      <c r="H7" s="132">
        <f>_xlfn.XMATCH(TB_Vendas[[#This Row],[Categoria]],'Cadastros Auxiliares'!$B$8:$E$8,0)</f>
        <v>3</v>
      </c>
      <c r="I7" s="69">
        <f>VLOOKUP(TB_Vendas[[#This Row],[Qtd]],'Cadastros Auxiliares'!$B$8:$E$13,Vendas!H7,TRUE)</f>
        <v>0.15</v>
      </c>
      <c r="J7" s="69" cm="1">
        <f t="array" ref="J7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0.15</v>
      </c>
      <c r="K7" s="69">
        <f>_xlfn.XLOOKUP(TB_Vendas[[#This Row],[Vendedor]],TB_Vendedor[Código],TB_Vendedor[Desc. Máximo])</f>
        <v>0.2</v>
      </c>
      <c r="L7" s="69">
        <f>IF(TB_Vendas[[#This Row],[Desconto 
(Diretão)]]&lt;=TB_Vendas[[#This Row],[Desconto 
(Vendedor)]],TB_Vendas[[#This Row],[Desconto 
(Diretão)]],TB_Vendas[[#This Row],[Desconto 
(Vendedor)]])</f>
        <v>0.15</v>
      </c>
      <c r="M7" s="63">
        <f>TB_Vendas[[#This Row],[Preço Unitário]]*TB_Vendas[[#This Row],[Qtd]]</f>
        <v>65.8</v>
      </c>
      <c r="N7" s="62" t="s">
        <v>126</v>
      </c>
    </row>
    <row r="8" spans="1:14">
      <c r="A8" s="9">
        <f>MONTH(TB_Vendas[[#This Row],[Data]])</f>
        <v>1</v>
      </c>
      <c r="B8" s="66" t="str">
        <f>PROPER(TEXT(DATE(,TB_Vendas[[#This Row],[Nº]],1),"Mmm"))</f>
        <v>Jan</v>
      </c>
      <c r="C8" s="67">
        <v>44938</v>
      </c>
      <c r="D8" s="66" t="s">
        <v>42</v>
      </c>
      <c r="E8" s="66" t="str">
        <f>_xlfn.XLOOKUP(TB_Vendas[[#This Row],[Código]],TB_Produtos[Código],TB_Produtos[Categoria])</f>
        <v>Vestuário</v>
      </c>
      <c r="F8" s="62">
        <v>1</v>
      </c>
      <c r="G8" s="68">
        <f>_xlfn.XLOOKUP(TB_Vendas[[#This Row],[Código]],TB_Produtos[Código],TB_Produtos[Preço Unitário])</f>
        <v>46.9</v>
      </c>
      <c r="H8" s="132">
        <f>_xlfn.XMATCH(TB_Vendas[[#This Row],[Categoria]],'Cadastros Auxiliares'!$B$8:$E$8,0)</f>
        <v>3</v>
      </c>
      <c r="I8" s="69">
        <f>VLOOKUP(TB_Vendas[[#This Row],[Qtd]],'Cadastros Auxiliares'!$B$8:$E$13,Vendas!H8,TRUE)</f>
        <v>0.1</v>
      </c>
      <c r="J8" s="69" cm="1">
        <f t="array" ref="J8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</v>
      </c>
      <c r="K8" s="69">
        <f>_xlfn.XLOOKUP(TB_Vendas[[#This Row],[Vendedor]],TB_Vendedor[Código],TB_Vendedor[Desc. Máximo])</f>
        <v>0.15</v>
      </c>
      <c r="L8" s="69">
        <f>IF(TB_Vendas[[#This Row],[Desconto 
(Diretão)]]&lt;=TB_Vendas[[#This Row],[Desconto 
(Vendedor)]],TB_Vendas[[#This Row],[Desconto 
(Diretão)]],TB_Vendas[[#This Row],[Desconto 
(Vendedor)]])</f>
        <v>0.1</v>
      </c>
      <c r="M8" s="63">
        <f>TB_Vendas[[#This Row],[Preço Unitário]]*TB_Vendas[[#This Row],[Qtd]]</f>
        <v>46.9</v>
      </c>
      <c r="N8" s="62" t="s">
        <v>130</v>
      </c>
    </row>
    <row r="9" spans="1:14">
      <c r="A9" s="9">
        <f>MONTH(TB_Vendas[[#This Row],[Data]])</f>
        <v>1</v>
      </c>
      <c r="B9" s="66" t="str">
        <f>PROPER(TEXT(DATE(,TB_Vendas[[#This Row],[Nº]],1),"Mmm"))</f>
        <v>Jan</v>
      </c>
      <c r="C9" s="67">
        <v>44939</v>
      </c>
      <c r="D9" s="66" t="s">
        <v>48</v>
      </c>
      <c r="E9" s="66" t="str">
        <f>_xlfn.XLOOKUP(TB_Vendas[[#This Row],[Código]],TB_Produtos[Código],TB_Produtos[Categoria])</f>
        <v>Vestuário</v>
      </c>
      <c r="F9" s="62">
        <v>1</v>
      </c>
      <c r="G9" s="68">
        <f>_xlfn.XLOOKUP(TB_Vendas[[#This Row],[Código]],TB_Produtos[Código],TB_Produtos[Preço Unitário])</f>
        <v>29.9</v>
      </c>
      <c r="H9" s="132">
        <f>_xlfn.XMATCH(TB_Vendas[[#This Row],[Categoria]],'Cadastros Auxiliares'!$B$8:$E$8,0)</f>
        <v>3</v>
      </c>
      <c r="I9" s="69">
        <f>VLOOKUP(TB_Vendas[[#This Row],[Qtd]],'Cadastros Auxiliares'!$B$8:$E$13,Vendas!H9,TRUE)</f>
        <v>0.1</v>
      </c>
      <c r="J9" s="69" cm="1">
        <f t="array" ref="J9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</v>
      </c>
      <c r="K9" s="69">
        <f>_xlfn.XLOOKUP(TB_Vendas[[#This Row],[Vendedor]],TB_Vendedor[Código],TB_Vendedor[Desc. Máximo])</f>
        <v>0.25</v>
      </c>
      <c r="L9" s="69">
        <f>IF(TB_Vendas[[#This Row],[Desconto 
(Diretão)]]&lt;=TB_Vendas[[#This Row],[Desconto 
(Vendedor)]],TB_Vendas[[#This Row],[Desconto 
(Diretão)]],TB_Vendas[[#This Row],[Desconto 
(Vendedor)]])</f>
        <v>0.1</v>
      </c>
      <c r="M9" s="63">
        <f>TB_Vendas[[#This Row],[Preço Unitário]]*TB_Vendas[[#This Row],[Qtd]]</f>
        <v>29.9</v>
      </c>
      <c r="N9" s="62" t="s">
        <v>127</v>
      </c>
    </row>
    <row r="10" spans="1:14">
      <c r="A10" s="9">
        <f>MONTH(TB_Vendas[[#This Row],[Data]])</f>
        <v>1</v>
      </c>
      <c r="B10" s="66" t="str">
        <f>PROPER(TEXT(DATE(,TB_Vendas[[#This Row],[Nº]],1),"Mmm"))</f>
        <v>Jan</v>
      </c>
      <c r="C10" s="67">
        <v>44943</v>
      </c>
      <c r="D10" s="66" t="s">
        <v>56</v>
      </c>
      <c r="E10" s="66" t="str">
        <f>_xlfn.XLOOKUP(TB_Vendas[[#This Row],[Código]],TB_Produtos[Código],TB_Produtos[Categoria])</f>
        <v>Vestuário</v>
      </c>
      <c r="F10" s="62">
        <v>1</v>
      </c>
      <c r="G10" s="68">
        <f>_xlfn.XLOOKUP(TB_Vendas[[#This Row],[Código]],TB_Produtos[Código],TB_Produtos[Preço Unitário])</f>
        <v>299.89999999999998</v>
      </c>
      <c r="H10" s="132">
        <f>_xlfn.XMATCH(TB_Vendas[[#This Row],[Categoria]],'Cadastros Auxiliares'!$B$8:$E$8,0)</f>
        <v>3</v>
      </c>
      <c r="I10" s="69">
        <f>VLOOKUP(TB_Vendas[[#This Row],[Qtd]],'Cadastros Auxiliares'!$B$8:$E$13,Vendas!H10,TRUE)</f>
        <v>0.1</v>
      </c>
      <c r="J10" s="69" cm="1">
        <f t="array" ref="J10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</v>
      </c>
      <c r="K10" s="69">
        <f>_xlfn.XLOOKUP(TB_Vendas[[#This Row],[Vendedor]],TB_Vendedor[Código],TB_Vendedor[Desc. Máximo])</f>
        <v>0.15</v>
      </c>
      <c r="L10" s="69">
        <f>IF(TB_Vendas[[#This Row],[Desconto 
(Diretão)]]&lt;=TB_Vendas[[#This Row],[Desconto 
(Vendedor)]],TB_Vendas[[#This Row],[Desconto 
(Diretão)]],TB_Vendas[[#This Row],[Desconto 
(Vendedor)]])</f>
        <v>0.1</v>
      </c>
      <c r="M10" s="63">
        <f>TB_Vendas[[#This Row],[Preço Unitário]]*TB_Vendas[[#This Row],[Qtd]]</f>
        <v>299.89999999999998</v>
      </c>
      <c r="N10" s="62" t="s">
        <v>130</v>
      </c>
    </row>
    <row r="11" spans="1:14">
      <c r="A11" s="9">
        <f>MONTH(TB_Vendas[[#This Row],[Data]])</f>
        <v>1</v>
      </c>
      <c r="B11" s="66" t="str">
        <f>PROPER(TEXT(DATE(,TB_Vendas[[#This Row],[Nº]],1),"Mmm"))</f>
        <v>Jan</v>
      </c>
      <c r="C11" s="67">
        <v>44949</v>
      </c>
      <c r="D11" s="66" t="s">
        <v>70</v>
      </c>
      <c r="E11" s="66" t="str">
        <f>_xlfn.XLOOKUP(TB_Vendas[[#This Row],[Código]],TB_Produtos[Código],TB_Produtos[Categoria])</f>
        <v>Vestuário</v>
      </c>
      <c r="F11" s="62">
        <v>1</v>
      </c>
      <c r="G11" s="68">
        <f>_xlfn.XLOOKUP(TB_Vendas[[#This Row],[Código]],TB_Produtos[Código],TB_Produtos[Preço Unitário])</f>
        <v>146</v>
      </c>
      <c r="H11" s="132">
        <f>_xlfn.XMATCH(TB_Vendas[[#This Row],[Categoria]],'Cadastros Auxiliares'!$B$8:$E$8,0)</f>
        <v>3</v>
      </c>
      <c r="I11" s="69">
        <f>VLOOKUP(TB_Vendas[[#This Row],[Qtd]],'Cadastros Auxiliares'!$B$8:$E$13,Vendas!H11,TRUE)</f>
        <v>0.1</v>
      </c>
      <c r="J11" s="69" cm="1">
        <f t="array" ref="J11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</v>
      </c>
      <c r="K11" s="69">
        <f>_xlfn.XLOOKUP(TB_Vendas[[#This Row],[Vendedor]],TB_Vendedor[Código],TB_Vendedor[Desc. Máximo])</f>
        <v>0.1</v>
      </c>
      <c r="L11" s="69">
        <f>IF(TB_Vendas[[#This Row],[Desconto 
(Diretão)]]&lt;=TB_Vendas[[#This Row],[Desconto 
(Vendedor)]],TB_Vendas[[#This Row],[Desconto 
(Diretão)]],TB_Vendas[[#This Row],[Desconto 
(Vendedor)]])</f>
        <v>0.1</v>
      </c>
      <c r="M11" s="63">
        <f>TB_Vendas[[#This Row],[Preço Unitário]]*TB_Vendas[[#This Row],[Qtd]]</f>
        <v>146</v>
      </c>
      <c r="N11" s="62" t="s">
        <v>128</v>
      </c>
    </row>
    <row r="12" spans="1:14">
      <c r="A12" s="9">
        <f>MONTH(TB_Vendas[[#This Row],[Data]])</f>
        <v>1</v>
      </c>
      <c r="B12" s="66" t="str">
        <f>PROPER(TEXT(DATE(,TB_Vendas[[#This Row],[Nº]],1),"Mmm"))</f>
        <v>Jan</v>
      </c>
      <c r="C12" s="67">
        <v>44952</v>
      </c>
      <c r="D12" s="66" t="s">
        <v>65</v>
      </c>
      <c r="E12" s="66" t="str">
        <f>_xlfn.XLOOKUP(TB_Vendas[[#This Row],[Código]],TB_Produtos[Código],TB_Produtos[Categoria])</f>
        <v>Vestuário</v>
      </c>
      <c r="F12" s="62">
        <v>2</v>
      </c>
      <c r="G12" s="68">
        <f>_xlfn.XLOOKUP(TB_Vendas[[#This Row],[Código]],TB_Produtos[Código],TB_Produtos[Preço Unitário])</f>
        <v>89.9</v>
      </c>
      <c r="H12" s="132">
        <f>_xlfn.XMATCH(TB_Vendas[[#This Row],[Categoria]],'Cadastros Auxiliares'!$B$8:$E$8,0)</f>
        <v>3</v>
      </c>
      <c r="I12" s="69">
        <f>VLOOKUP(TB_Vendas[[#This Row],[Qtd]],'Cadastros Auxiliares'!$B$8:$E$13,Vendas!H12,TRUE)</f>
        <v>0.15</v>
      </c>
      <c r="J12" s="69" cm="1">
        <f t="array" ref="J12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0.15</v>
      </c>
      <c r="K12" s="69">
        <f>_xlfn.XLOOKUP(TB_Vendas[[#This Row],[Vendedor]],TB_Vendedor[Código],TB_Vendedor[Desc. Máximo])</f>
        <v>0.1</v>
      </c>
      <c r="L12" s="69">
        <f>IF(TB_Vendas[[#This Row],[Desconto 
(Diretão)]]&lt;=TB_Vendas[[#This Row],[Desconto 
(Vendedor)]],TB_Vendas[[#This Row],[Desconto 
(Diretão)]],TB_Vendas[[#This Row],[Desconto 
(Vendedor)]])</f>
        <v>0.1</v>
      </c>
      <c r="M12" s="63">
        <f>TB_Vendas[[#This Row],[Preço Unitário]]*TB_Vendas[[#This Row],[Qtd]]</f>
        <v>179.8</v>
      </c>
      <c r="N12" s="62" t="s">
        <v>128</v>
      </c>
    </row>
    <row r="13" spans="1:14">
      <c r="A13" s="9">
        <f>MONTH(TB_Vendas[[#This Row],[Data]])</f>
        <v>1</v>
      </c>
      <c r="B13" s="66" t="str">
        <f>PROPER(TEXT(DATE(,TB_Vendas[[#This Row],[Nº]],1),"Mmm"))</f>
        <v>Jan</v>
      </c>
      <c r="C13" s="67">
        <v>44954</v>
      </c>
      <c r="D13" s="66" t="s">
        <v>63</v>
      </c>
      <c r="E13" s="66" t="str">
        <f>_xlfn.XLOOKUP(TB_Vendas[[#This Row],[Código]],TB_Produtos[Código],TB_Produtos[Categoria])</f>
        <v>Calçado</v>
      </c>
      <c r="F13" s="62">
        <v>2</v>
      </c>
      <c r="G13" s="68">
        <f>_xlfn.XLOOKUP(TB_Vendas[[#This Row],[Código]],TB_Produtos[Código],TB_Produtos[Preço Unitário])</f>
        <v>250</v>
      </c>
      <c r="H13" s="132">
        <f>_xlfn.XMATCH(TB_Vendas[[#This Row],[Categoria]],'Cadastros Auxiliares'!$B$8:$E$8,0)</f>
        <v>4</v>
      </c>
      <c r="I13" s="69">
        <f>VLOOKUP(TB_Vendas[[#This Row],[Qtd]],'Cadastros Auxiliares'!$B$8:$E$13,Vendas!H13,TRUE)</f>
        <v>0.1</v>
      </c>
      <c r="J13" s="69" cm="1">
        <f t="array" ref="J13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</v>
      </c>
      <c r="K13" s="69">
        <f>_xlfn.XLOOKUP(TB_Vendas[[#This Row],[Vendedor]],TB_Vendedor[Código],TB_Vendedor[Desc. Máximo])</f>
        <v>0.25</v>
      </c>
      <c r="L13" s="69">
        <f>IF(TB_Vendas[[#This Row],[Desconto 
(Diretão)]]&lt;=TB_Vendas[[#This Row],[Desconto 
(Vendedor)]],TB_Vendas[[#This Row],[Desconto 
(Diretão)]],TB_Vendas[[#This Row],[Desconto 
(Vendedor)]])</f>
        <v>0.1</v>
      </c>
      <c r="M13" s="63">
        <f>TB_Vendas[[#This Row],[Preço Unitário]]*TB_Vendas[[#This Row],[Qtd]]</f>
        <v>500</v>
      </c>
      <c r="N13" s="62" t="s">
        <v>127</v>
      </c>
    </row>
    <row r="14" spans="1:14">
      <c r="A14" s="9">
        <f>MONTH(TB_Vendas[[#This Row],[Data]])</f>
        <v>1</v>
      </c>
      <c r="B14" s="66" t="str">
        <f>PROPER(TEXT(DATE(,TB_Vendas[[#This Row],[Nº]],1),"Mmm"))</f>
        <v>Jan</v>
      </c>
      <c r="C14" s="67">
        <v>44955</v>
      </c>
      <c r="D14" s="66" t="s">
        <v>44</v>
      </c>
      <c r="E14" s="66" t="str">
        <f>_xlfn.XLOOKUP(TB_Vendas[[#This Row],[Código]],TB_Produtos[Código],TB_Produtos[Categoria])</f>
        <v>Vestuário</v>
      </c>
      <c r="F14" s="62">
        <v>1</v>
      </c>
      <c r="G14" s="68">
        <f>_xlfn.XLOOKUP(TB_Vendas[[#This Row],[Código]],TB_Produtos[Código],TB_Produtos[Preço Unitário])</f>
        <v>39.9</v>
      </c>
      <c r="H14" s="132">
        <f>_xlfn.XMATCH(TB_Vendas[[#This Row],[Categoria]],'Cadastros Auxiliares'!$B$8:$E$8,0)</f>
        <v>3</v>
      </c>
      <c r="I14" s="69">
        <f>VLOOKUP(TB_Vendas[[#This Row],[Qtd]],'Cadastros Auxiliares'!$B$8:$E$13,Vendas!H14,TRUE)</f>
        <v>0.1</v>
      </c>
      <c r="J14" s="69" cm="1">
        <f t="array" ref="J14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</v>
      </c>
      <c r="K14" s="69">
        <f>_xlfn.XLOOKUP(TB_Vendas[[#This Row],[Vendedor]],TB_Vendedor[Código],TB_Vendedor[Desc. Máximo])</f>
        <v>0.25</v>
      </c>
      <c r="L14" s="69">
        <f>IF(TB_Vendas[[#This Row],[Desconto 
(Diretão)]]&lt;=TB_Vendas[[#This Row],[Desconto 
(Vendedor)]],TB_Vendas[[#This Row],[Desconto 
(Diretão)]],TB_Vendas[[#This Row],[Desconto 
(Vendedor)]])</f>
        <v>0.1</v>
      </c>
      <c r="M14" s="63">
        <f>TB_Vendas[[#This Row],[Preço Unitário]]*TB_Vendas[[#This Row],[Qtd]]</f>
        <v>39.9</v>
      </c>
      <c r="N14" s="62" t="s">
        <v>127</v>
      </c>
    </row>
    <row r="15" spans="1:14">
      <c r="A15" s="9">
        <f>MONTH(TB_Vendas[[#This Row],[Data]])</f>
        <v>1</v>
      </c>
      <c r="B15" s="66" t="str">
        <f>PROPER(TEXT(DATE(,TB_Vendas[[#This Row],[Nº]],1),"Mmm"))</f>
        <v>Jan</v>
      </c>
      <c r="C15" s="67">
        <v>44956</v>
      </c>
      <c r="D15" s="66" t="s">
        <v>69</v>
      </c>
      <c r="E15" s="66" t="str">
        <f>_xlfn.XLOOKUP(TB_Vendas[[#This Row],[Código]],TB_Produtos[Código],TB_Produtos[Categoria])</f>
        <v>Vestuário</v>
      </c>
      <c r="F15" s="62">
        <v>1</v>
      </c>
      <c r="G15" s="68">
        <f>_xlfn.XLOOKUP(TB_Vendas[[#This Row],[Código]],TB_Produtos[Código],TB_Produtos[Preço Unitário])</f>
        <v>142.9</v>
      </c>
      <c r="H15" s="132">
        <f>_xlfn.XMATCH(TB_Vendas[[#This Row],[Categoria]],'Cadastros Auxiliares'!$B$8:$E$8,0)</f>
        <v>3</v>
      </c>
      <c r="I15" s="69">
        <f>VLOOKUP(TB_Vendas[[#This Row],[Qtd]],'Cadastros Auxiliares'!$B$8:$E$13,Vendas!H15,TRUE)</f>
        <v>0.1</v>
      </c>
      <c r="J15" s="69" cm="1">
        <f t="array" ref="J15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</v>
      </c>
      <c r="K15" s="69">
        <f>_xlfn.XLOOKUP(TB_Vendas[[#This Row],[Vendedor]],TB_Vendedor[Código],TB_Vendedor[Desc. Máximo])</f>
        <v>0.2</v>
      </c>
      <c r="L15" s="69">
        <f>IF(TB_Vendas[[#This Row],[Desconto 
(Diretão)]]&lt;=TB_Vendas[[#This Row],[Desconto 
(Vendedor)]],TB_Vendas[[#This Row],[Desconto 
(Diretão)]],TB_Vendas[[#This Row],[Desconto 
(Vendedor)]])</f>
        <v>0.1</v>
      </c>
      <c r="M15" s="63">
        <f>TB_Vendas[[#This Row],[Preço Unitário]]*TB_Vendas[[#This Row],[Qtd]]</f>
        <v>142.9</v>
      </c>
      <c r="N15" s="62" t="s">
        <v>129</v>
      </c>
    </row>
    <row r="16" spans="1:14">
      <c r="A16" s="9">
        <f>MONTH(TB_Vendas[[#This Row],[Data]])</f>
        <v>2</v>
      </c>
      <c r="B16" s="66" t="str">
        <f>PROPER(TEXT(DATE(,TB_Vendas[[#This Row],[Nº]],1),"Mmm"))</f>
        <v>Fev</v>
      </c>
      <c r="C16" s="67">
        <v>44960</v>
      </c>
      <c r="D16" s="66" t="s">
        <v>53</v>
      </c>
      <c r="E16" s="66" t="str">
        <f>_xlfn.XLOOKUP(TB_Vendas[[#This Row],[Código]],TB_Produtos[Código],TB_Produtos[Categoria])</f>
        <v>Vestuário</v>
      </c>
      <c r="F16" s="62">
        <v>1</v>
      </c>
      <c r="G16" s="68">
        <f>_xlfn.XLOOKUP(TB_Vendas[[#This Row],[Código]],TB_Produtos[Código],TB_Produtos[Preço Unitário])</f>
        <v>300</v>
      </c>
      <c r="H16" s="132">
        <f>_xlfn.XMATCH(TB_Vendas[[#This Row],[Categoria]],'Cadastros Auxiliares'!$B$8:$E$8,0)</f>
        <v>3</v>
      </c>
      <c r="I16" s="69">
        <f>VLOOKUP(TB_Vendas[[#This Row],[Qtd]],'Cadastros Auxiliares'!$B$8:$E$13,Vendas!H16,TRUE)</f>
        <v>0.1</v>
      </c>
      <c r="J16" s="69" cm="1">
        <f t="array" ref="J16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</v>
      </c>
      <c r="K16" s="69">
        <f>_xlfn.XLOOKUP(TB_Vendas[[#This Row],[Vendedor]],TB_Vendedor[Código],TB_Vendedor[Desc. Máximo])</f>
        <v>0.1</v>
      </c>
      <c r="L16" s="69">
        <f>IF(TB_Vendas[[#This Row],[Desconto 
(Diretão)]]&lt;=TB_Vendas[[#This Row],[Desconto 
(Vendedor)]],TB_Vendas[[#This Row],[Desconto 
(Diretão)]],TB_Vendas[[#This Row],[Desconto 
(Vendedor)]])</f>
        <v>0.1</v>
      </c>
      <c r="M16" s="63">
        <f>TB_Vendas[[#This Row],[Preço Unitário]]*TB_Vendas[[#This Row],[Qtd]]</f>
        <v>300</v>
      </c>
      <c r="N16" s="62" t="s">
        <v>128</v>
      </c>
    </row>
    <row r="17" spans="1:14">
      <c r="A17" s="9">
        <f>MONTH(TB_Vendas[[#This Row],[Data]])</f>
        <v>2</v>
      </c>
      <c r="B17" s="66" t="str">
        <f>PROPER(TEXT(DATE(,TB_Vendas[[#This Row],[Nº]],1),"Mmm"))</f>
        <v>Fev</v>
      </c>
      <c r="C17" s="67">
        <v>44962</v>
      </c>
      <c r="D17" s="66" t="s">
        <v>106</v>
      </c>
      <c r="E17" s="66" t="str">
        <f>_xlfn.XLOOKUP(TB_Vendas[[#This Row],[Código]],TB_Produtos[Código],TB_Produtos[Categoria])</f>
        <v>Vestuário</v>
      </c>
      <c r="F17" s="62">
        <v>2</v>
      </c>
      <c r="G17" s="68">
        <f>_xlfn.XLOOKUP(TB_Vendas[[#This Row],[Código]],TB_Produtos[Código],TB_Produtos[Preço Unitário])</f>
        <v>289.89999999999998</v>
      </c>
      <c r="H17" s="132">
        <f>_xlfn.XMATCH(TB_Vendas[[#This Row],[Categoria]],'Cadastros Auxiliares'!$B$8:$E$8,0)</f>
        <v>3</v>
      </c>
      <c r="I17" s="69">
        <f>VLOOKUP(TB_Vendas[[#This Row],[Qtd]],'Cadastros Auxiliares'!$B$8:$E$13,Vendas!H17,TRUE)</f>
        <v>0.15</v>
      </c>
      <c r="J17" s="69" cm="1">
        <f t="array" ref="J17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0.15</v>
      </c>
      <c r="K17" s="69">
        <f>_xlfn.XLOOKUP(TB_Vendas[[#This Row],[Vendedor]],TB_Vendedor[Código],TB_Vendedor[Desc. Máximo])</f>
        <v>0.2</v>
      </c>
      <c r="L17" s="69">
        <f>IF(TB_Vendas[[#This Row],[Desconto 
(Diretão)]]&lt;=TB_Vendas[[#This Row],[Desconto 
(Vendedor)]],TB_Vendas[[#This Row],[Desconto 
(Diretão)]],TB_Vendas[[#This Row],[Desconto 
(Vendedor)]])</f>
        <v>0.15</v>
      </c>
      <c r="M17" s="63">
        <f>TB_Vendas[[#This Row],[Preço Unitário]]*TB_Vendas[[#This Row],[Qtd]]</f>
        <v>579.79999999999995</v>
      </c>
      <c r="N17" s="62" t="s">
        <v>129</v>
      </c>
    </row>
    <row r="18" spans="1:14">
      <c r="A18" s="9">
        <f>MONTH(TB_Vendas[[#This Row],[Data]])</f>
        <v>2</v>
      </c>
      <c r="B18" s="66" t="str">
        <f>PROPER(TEXT(DATE(,TB_Vendas[[#This Row],[Nº]],1),"Mmm"))</f>
        <v>Fev</v>
      </c>
      <c r="C18" s="67">
        <v>44975</v>
      </c>
      <c r="D18" s="66" t="s">
        <v>59</v>
      </c>
      <c r="E18" s="66" t="str">
        <f>_xlfn.XLOOKUP(TB_Vendas[[#This Row],[Código]],TB_Produtos[Código],TB_Produtos[Categoria])</f>
        <v>Calçado</v>
      </c>
      <c r="F18" s="62">
        <v>1</v>
      </c>
      <c r="G18" s="68">
        <f>_xlfn.XLOOKUP(TB_Vendas[[#This Row],[Código]],TB_Produtos[Código],TB_Produtos[Preço Unitário])</f>
        <v>249.9</v>
      </c>
      <c r="H18" s="132">
        <f>_xlfn.XMATCH(TB_Vendas[[#This Row],[Categoria]],'Cadastros Auxiliares'!$B$8:$E$8,0)</f>
        <v>4</v>
      </c>
      <c r="I18" s="69">
        <f>VLOOKUP(TB_Vendas[[#This Row],[Qtd]],'Cadastros Auxiliares'!$B$8:$E$13,Vendas!H18,TRUE)</f>
        <v>0</v>
      </c>
      <c r="J18" s="69" cm="1">
        <f t="array" ref="J18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</v>
      </c>
      <c r="K18" s="69">
        <f>_xlfn.XLOOKUP(TB_Vendas[[#This Row],[Vendedor]],TB_Vendedor[Código],TB_Vendedor[Desc. Máximo])</f>
        <v>0.2</v>
      </c>
      <c r="L18" s="69">
        <f>IF(TB_Vendas[[#This Row],[Desconto 
(Diretão)]]&lt;=TB_Vendas[[#This Row],[Desconto 
(Vendedor)]],TB_Vendas[[#This Row],[Desconto 
(Diretão)]],TB_Vendas[[#This Row],[Desconto 
(Vendedor)]])</f>
        <v>0</v>
      </c>
      <c r="M18" s="63">
        <f>TB_Vendas[[#This Row],[Preço Unitário]]*TB_Vendas[[#This Row],[Qtd]]</f>
        <v>249.9</v>
      </c>
      <c r="N18" s="62" t="s">
        <v>129</v>
      </c>
    </row>
    <row r="19" spans="1:14">
      <c r="A19" s="9">
        <f>MONTH(TB_Vendas[[#This Row],[Data]])</f>
        <v>2</v>
      </c>
      <c r="B19" s="66" t="str">
        <f>PROPER(TEXT(DATE(,TB_Vendas[[#This Row],[Nº]],1),"Mmm"))</f>
        <v>Fev</v>
      </c>
      <c r="C19" s="67">
        <v>44978</v>
      </c>
      <c r="D19" s="66" t="s">
        <v>44</v>
      </c>
      <c r="E19" s="66" t="str">
        <f>_xlfn.XLOOKUP(TB_Vendas[[#This Row],[Código]],TB_Produtos[Código],TB_Produtos[Categoria])</f>
        <v>Vestuário</v>
      </c>
      <c r="F19" s="62">
        <v>2</v>
      </c>
      <c r="G19" s="68">
        <f>_xlfn.XLOOKUP(TB_Vendas[[#This Row],[Código]],TB_Produtos[Código],TB_Produtos[Preço Unitário])</f>
        <v>39.9</v>
      </c>
      <c r="H19" s="132">
        <f>_xlfn.XMATCH(TB_Vendas[[#This Row],[Categoria]],'Cadastros Auxiliares'!$B$8:$E$8,0)</f>
        <v>3</v>
      </c>
      <c r="I19" s="69">
        <f>VLOOKUP(TB_Vendas[[#This Row],[Qtd]],'Cadastros Auxiliares'!$B$8:$E$13,Vendas!H19,TRUE)</f>
        <v>0.15</v>
      </c>
      <c r="J19" s="69" cm="1">
        <f t="array" ref="J19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0.15</v>
      </c>
      <c r="K19" s="69">
        <f>_xlfn.XLOOKUP(TB_Vendas[[#This Row],[Vendedor]],TB_Vendedor[Código],TB_Vendedor[Desc. Máximo])</f>
        <v>0.2</v>
      </c>
      <c r="L19" s="69">
        <f>IF(TB_Vendas[[#This Row],[Desconto 
(Diretão)]]&lt;=TB_Vendas[[#This Row],[Desconto 
(Vendedor)]],TB_Vendas[[#This Row],[Desconto 
(Diretão)]],TB_Vendas[[#This Row],[Desconto 
(Vendedor)]])</f>
        <v>0.15</v>
      </c>
      <c r="M19" s="63">
        <f>TB_Vendas[[#This Row],[Preço Unitário]]*TB_Vendas[[#This Row],[Qtd]]</f>
        <v>79.8</v>
      </c>
      <c r="N19" s="62" t="s">
        <v>129</v>
      </c>
    </row>
    <row r="20" spans="1:14">
      <c r="A20" s="9">
        <f>MONTH(TB_Vendas[[#This Row],[Data]])</f>
        <v>2</v>
      </c>
      <c r="B20" s="66" t="str">
        <f>PROPER(TEXT(DATE(,TB_Vendas[[#This Row],[Nº]],1),"Mmm"))</f>
        <v>Fev</v>
      </c>
      <c r="C20" s="67">
        <v>44981</v>
      </c>
      <c r="D20" s="66" t="s">
        <v>103</v>
      </c>
      <c r="E20" s="66" t="str">
        <f>_xlfn.XLOOKUP(TB_Vendas[[#This Row],[Código]],TB_Produtos[Código],TB_Produtos[Categoria])</f>
        <v>Vestuário</v>
      </c>
      <c r="F20" s="62">
        <v>4</v>
      </c>
      <c r="G20" s="68">
        <f>_xlfn.XLOOKUP(TB_Vendas[[#This Row],[Código]],TB_Produtos[Código],TB_Produtos[Preço Unitário])</f>
        <v>289.89999999999998</v>
      </c>
      <c r="H20" s="132">
        <f>_xlfn.XMATCH(TB_Vendas[[#This Row],[Categoria]],'Cadastros Auxiliares'!$B$8:$E$8,0)</f>
        <v>3</v>
      </c>
      <c r="I20" s="69">
        <f>VLOOKUP(TB_Vendas[[#This Row],[Qtd]],'Cadastros Auxiliares'!$B$8:$E$13,Vendas!H20,TRUE)</f>
        <v>0.2</v>
      </c>
      <c r="J20" s="69" cm="1">
        <f t="array" ref="J20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0.2</v>
      </c>
      <c r="K20" s="69">
        <f>_xlfn.XLOOKUP(TB_Vendas[[#This Row],[Vendedor]],TB_Vendedor[Código],TB_Vendedor[Desc. Máximo])</f>
        <v>0.2</v>
      </c>
      <c r="L20" s="69">
        <f>IF(TB_Vendas[[#This Row],[Desconto 
(Diretão)]]&lt;=TB_Vendas[[#This Row],[Desconto 
(Vendedor)]],TB_Vendas[[#This Row],[Desconto 
(Diretão)]],TB_Vendas[[#This Row],[Desconto 
(Vendedor)]])</f>
        <v>0.2</v>
      </c>
      <c r="M20" s="63">
        <f>TB_Vendas[[#This Row],[Preço Unitário]]*TB_Vendas[[#This Row],[Qtd]]</f>
        <v>1159.5999999999999</v>
      </c>
      <c r="N20" s="62" t="s">
        <v>129</v>
      </c>
    </row>
    <row r="21" spans="1:14">
      <c r="A21" s="9">
        <f>MONTH(TB_Vendas[[#This Row],[Data]])</f>
        <v>2</v>
      </c>
      <c r="B21" s="66" t="str">
        <f>PROPER(TEXT(DATE(,TB_Vendas[[#This Row],[Nº]],1),"Mmm"))</f>
        <v>Fev</v>
      </c>
      <c r="C21" s="67">
        <v>44982</v>
      </c>
      <c r="D21" s="66" t="s">
        <v>123</v>
      </c>
      <c r="E21" s="66" t="str">
        <f>_xlfn.XLOOKUP(TB_Vendas[[#This Row],[Código]],TB_Produtos[Código],TB_Produtos[Categoria])</f>
        <v>Vestuário</v>
      </c>
      <c r="F21" s="62">
        <v>3</v>
      </c>
      <c r="G21" s="68">
        <f>_xlfn.XLOOKUP(TB_Vendas[[#This Row],[Código]],TB_Produtos[Código],TB_Produtos[Preço Unitário])</f>
        <v>180</v>
      </c>
      <c r="H21" s="132">
        <f>_xlfn.XMATCH(TB_Vendas[[#This Row],[Categoria]],'Cadastros Auxiliares'!$B$8:$E$8,0)</f>
        <v>3</v>
      </c>
      <c r="I21" s="69">
        <f>VLOOKUP(TB_Vendas[[#This Row],[Qtd]],'Cadastros Auxiliares'!$B$8:$E$13,Vendas!H21,TRUE)</f>
        <v>0.2</v>
      </c>
      <c r="J21" s="69" cm="1">
        <f t="array" ref="J21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0.2</v>
      </c>
      <c r="K21" s="69">
        <f>_xlfn.XLOOKUP(TB_Vendas[[#This Row],[Vendedor]],TB_Vendedor[Código],TB_Vendedor[Desc. Máximo])</f>
        <v>0.25</v>
      </c>
      <c r="L21" s="69">
        <f>IF(TB_Vendas[[#This Row],[Desconto 
(Diretão)]]&lt;=TB_Vendas[[#This Row],[Desconto 
(Vendedor)]],TB_Vendas[[#This Row],[Desconto 
(Diretão)]],TB_Vendas[[#This Row],[Desconto 
(Vendedor)]])</f>
        <v>0.2</v>
      </c>
      <c r="M21" s="63">
        <f>TB_Vendas[[#This Row],[Preço Unitário]]*TB_Vendas[[#This Row],[Qtd]]</f>
        <v>540</v>
      </c>
      <c r="N21" s="62" t="s">
        <v>127</v>
      </c>
    </row>
    <row r="22" spans="1:14">
      <c r="A22" s="9">
        <f>MONTH(TB_Vendas[[#This Row],[Data]])</f>
        <v>2</v>
      </c>
      <c r="B22" s="66" t="str">
        <f>PROPER(TEXT(DATE(,TB_Vendas[[#This Row],[Nº]],1),"Mmm"))</f>
        <v>Fev</v>
      </c>
      <c r="C22" s="67">
        <v>44983</v>
      </c>
      <c r="D22" s="66" t="s">
        <v>109</v>
      </c>
      <c r="E22" s="66" t="str">
        <f>_xlfn.XLOOKUP(TB_Vendas[[#This Row],[Código]],TB_Produtos[Código],TB_Produtos[Categoria])</f>
        <v>Vestuário</v>
      </c>
      <c r="F22" s="62">
        <v>2</v>
      </c>
      <c r="G22" s="68">
        <f>_xlfn.XLOOKUP(TB_Vendas[[#This Row],[Código]],TB_Produtos[Código],TB_Produtos[Preço Unitário])</f>
        <v>32.9</v>
      </c>
      <c r="H22" s="132">
        <f>_xlfn.XMATCH(TB_Vendas[[#This Row],[Categoria]],'Cadastros Auxiliares'!$B$8:$E$8,0)</f>
        <v>3</v>
      </c>
      <c r="I22" s="69">
        <f>VLOOKUP(TB_Vendas[[#This Row],[Qtd]],'Cadastros Auxiliares'!$B$8:$E$13,Vendas!H22,TRUE)</f>
        <v>0.15</v>
      </c>
      <c r="J22" s="69" cm="1">
        <f t="array" ref="J22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0.15</v>
      </c>
      <c r="K22" s="69">
        <f>_xlfn.XLOOKUP(TB_Vendas[[#This Row],[Vendedor]],TB_Vendedor[Código],TB_Vendedor[Desc. Máximo])</f>
        <v>0.2</v>
      </c>
      <c r="L22" s="69">
        <f>IF(TB_Vendas[[#This Row],[Desconto 
(Diretão)]]&lt;=TB_Vendas[[#This Row],[Desconto 
(Vendedor)]],TB_Vendas[[#This Row],[Desconto 
(Diretão)]],TB_Vendas[[#This Row],[Desconto 
(Vendedor)]])</f>
        <v>0.15</v>
      </c>
      <c r="M22" s="63">
        <f>TB_Vendas[[#This Row],[Preço Unitário]]*TB_Vendas[[#This Row],[Qtd]]</f>
        <v>65.8</v>
      </c>
      <c r="N22" s="62" t="s">
        <v>126</v>
      </c>
    </row>
    <row r="23" spans="1:14">
      <c r="A23" s="9">
        <f>MONTH(TB_Vendas[[#This Row],[Data]])</f>
        <v>3</v>
      </c>
      <c r="B23" s="66" t="str">
        <f>PROPER(TEXT(DATE(,TB_Vendas[[#This Row],[Nº]],1),"Mmm"))</f>
        <v>Mar</v>
      </c>
      <c r="C23" s="67">
        <v>44986</v>
      </c>
      <c r="D23" s="66" t="s">
        <v>60</v>
      </c>
      <c r="E23" s="66" t="str">
        <f>_xlfn.XLOOKUP(TB_Vendas[[#This Row],[Código]],TB_Produtos[Código],TB_Produtos[Categoria])</f>
        <v>Calçado</v>
      </c>
      <c r="F23" s="62">
        <v>3</v>
      </c>
      <c r="G23" s="68">
        <f>_xlfn.XLOOKUP(TB_Vendas[[#This Row],[Código]],TB_Produtos[Código],TB_Produtos[Preço Unitário])</f>
        <v>255</v>
      </c>
      <c r="H23" s="132">
        <f>_xlfn.XMATCH(TB_Vendas[[#This Row],[Categoria]],'Cadastros Auxiliares'!$B$8:$E$8,0)</f>
        <v>4</v>
      </c>
      <c r="I23" s="69">
        <f>VLOOKUP(TB_Vendas[[#This Row],[Qtd]],'Cadastros Auxiliares'!$B$8:$E$13,Vendas!H23,TRUE)</f>
        <v>0.15</v>
      </c>
      <c r="J23" s="69" cm="1">
        <f t="array" ref="J23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0.15</v>
      </c>
      <c r="K23" s="69">
        <f>_xlfn.XLOOKUP(TB_Vendas[[#This Row],[Vendedor]],TB_Vendedor[Código],TB_Vendedor[Desc. Máximo])</f>
        <v>0.2</v>
      </c>
      <c r="L23" s="69">
        <f>IF(TB_Vendas[[#This Row],[Desconto 
(Diretão)]]&lt;=TB_Vendas[[#This Row],[Desconto 
(Vendedor)]],TB_Vendas[[#This Row],[Desconto 
(Diretão)]],TB_Vendas[[#This Row],[Desconto 
(Vendedor)]])</f>
        <v>0.15</v>
      </c>
      <c r="M23" s="63">
        <f>TB_Vendas[[#This Row],[Preço Unitário]]*TB_Vendas[[#This Row],[Qtd]]</f>
        <v>765</v>
      </c>
      <c r="N23" s="62" t="s">
        <v>129</v>
      </c>
    </row>
    <row r="24" spans="1:14">
      <c r="A24" s="9">
        <f>MONTH(TB_Vendas[[#This Row],[Data]])</f>
        <v>3</v>
      </c>
      <c r="B24" s="66" t="str">
        <f>PROPER(TEXT(DATE(,TB_Vendas[[#This Row],[Nº]],1),"Mmm"))</f>
        <v>Mar</v>
      </c>
      <c r="C24" s="67">
        <v>44986</v>
      </c>
      <c r="D24" s="66" t="s">
        <v>69</v>
      </c>
      <c r="E24" s="66" t="str">
        <f>_xlfn.XLOOKUP(TB_Vendas[[#This Row],[Código]],TB_Produtos[Código],TB_Produtos[Categoria])</f>
        <v>Vestuário</v>
      </c>
      <c r="F24" s="62">
        <v>1</v>
      </c>
      <c r="G24" s="68">
        <f>_xlfn.XLOOKUP(TB_Vendas[[#This Row],[Código]],TB_Produtos[Código],TB_Produtos[Preço Unitário])</f>
        <v>142.9</v>
      </c>
      <c r="H24" s="132">
        <f>_xlfn.XMATCH(TB_Vendas[[#This Row],[Categoria]],'Cadastros Auxiliares'!$B$8:$E$8,0)</f>
        <v>3</v>
      </c>
      <c r="I24" s="69">
        <f>VLOOKUP(TB_Vendas[[#This Row],[Qtd]],'Cadastros Auxiliares'!$B$8:$E$13,Vendas!H24,TRUE)</f>
        <v>0.1</v>
      </c>
      <c r="J24" s="69" cm="1">
        <f t="array" ref="J24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</v>
      </c>
      <c r="K24" s="69">
        <f>_xlfn.XLOOKUP(TB_Vendas[[#This Row],[Vendedor]],TB_Vendedor[Código],TB_Vendedor[Desc. Máximo])</f>
        <v>0.2</v>
      </c>
      <c r="L24" s="69">
        <f>IF(TB_Vendas[[#This Row],[Desconto 
(Diretão)]]&lt;=TB_Vendas[[#This Row],[Desconto 
(Vendedor)]],TB_Vendas[[#This Row],[Desconto 
(Diretão)]],TB_Vendas[[#This Row],[Desconto 
(Vendedor)]])</f>
        <v>0.1</v>
      </c>
      <c r="M24" s="63">
        <f>TB_Vendas[[#This Row],[Preço Unitário]]*TB_Vendas[[#This Row],[Qtd]]</f>
        <v>142.9</v>
      </c>
      <c r="N24" s="62" t="s">
        <v>126</v>
      </c>
    </row>
    <row r="25" spans="1:14">
      <c r="A25" s="9">
        <f>MONTH(TB_Vendas[[#This Row],[Data]])</f>
        <v>3</v>
      </c>
      <c r="B25" s="66" t="str">
        <f>PROPER(TEXT(DATE(,TB_Vendas[[#This Row],[Nº]],1),"Mmm"))</f>
        <v>Mar</v>
      </c>
      <c r="C25" s="67">
        <v>44987</v>
      </c>
      <c r="D25" s="66" t="s">
        <v>40</v>
      </c>
      <c r="E25" s="66" t="str">
        <f>_xlfn.XLOOKUP(TB_Vendas[[#This Row],[Código]],TB_Produtos[Código],TB_Produtos[Categoria])</f>
        <v>Vestuário</v>
      </c>
      <c r="F25" s="62">
        <v>4</v>
      </c>
      <c r="G25" s="68">
        <f>_xlfn.XLOOKUP(TB_Vendas[[#This Row],[Código]],TB_Produtos[Código],TB_Produtos[Preço Unitário])</f>
        <v>92.9</v>
      </c>
      <c r="H25" s="132">
        <f>_xlfn.XMATCH(TB_Vendas[[#This Row],[Categoria]],'Cadastros Auxiliares'!$B$8:$E$8,0)</f>
        <v>3</v>
      </c>
      <c r="I25" s="69">
        <f>VLOOKUP(TB_Vendas[[#This Row],[Qtd]],'Cadastros Auxiliares'!$B$8:$E$13,Vendas!H25,TRUE)</f>
        <v>0.2</v>
      </c>
      <c r="J25" s="69" cm="1">
        <f t="array" ref="J25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0.2</v>
      </c>
      <c r="K25" s="69">
        <f>_xlfn.XLOOKUP(TB_Vendas[[#This Row],[Vendedor]],TB_Vendedor[Código],TB_Vendedor[Desc. Máximo])</f>
        <v>0.1</v>
      </c>
      <c r="L25" s="69">
        <f>IF(TB_Vendas[[#This Row],[Desconto 
(Diretão)]]&lt;=TB_Vendas[[#This Row],[Desconto 
(Vendedor)]],TB_Vendas[[#This Row],[Desconto 
(Diretão)]],TB_Vendas[[#This Row],[Desconto 
(Vendedor)]])</f>
        <v>0.1</v>
      </c>
      <c r="M25" s="63">
        <f>TB_Vendas[[#This Row],[Preço Unitário]]*TB_Vendas[[#This Row],[Qtd]]</f>
        <v>371.6</v>
      </c>
      <c r="N25" s="62" t="s">
        <v>128</v>
      </c>
    </row>
    <row r="26" spans="1:14">
      <c r="A26" s="9">
        <f>MONTH(TB_Vendas[[#This Row],[Data]])</f>
        <v>3</v>
      </c>
      <c r="B26" s="66" t="str">
        <f>PROPER(TEXT(DATE(,TB_Vendas[[#This Row],[Nº]],1),"Mmm"))</f>
        <v>Mar</v>
      </c>
      <c r="C26" s="67">
        <v>44988</v>
      </c>
      <c r="D26" s="66" t="s">
        <v>98</v>
      </c>
      <c r="E26" s="66" t="str">
        <f>_xlfn.XLOOKUP(TB_Vendas[[#This Row],[Código]],TB_Produtos[Código],TB_Produtos[Categoria])</f>
        <v>Vestuário</v>
      </c>
      <c r="F26" s="62">
        <v>2</v>
      </c>
      <c r="G26" s="68">
        <f>_xlfn.XLOOKUP(TB_Vendas[[#This Row],[Código]],TB_Produtos[Código],TB_Produtos[Preço Unitário])</f>
        <v>54.9</v>
      </c>
      <c r="H26" s="132">
        <f>_xlfn.XMATCH(TB_Vendas[[#This Row],[Categoria]],'Cadastros Auxiliares'!$B$8:$E$8,0)</f>
        <v>3</v>
      </c>
      <c r="I26" s="69">
        <f>VLOOKUP(TB_Vendas[[#This Row],[Qtd]],'Cadastros Auxiliares'!$B$8:$E$13,Vendas!H26,TRUE)</f>
        <v>0.15</v>
      </c>
      <c r="J26" s="69" cm="1">
        <f t="array" ref="J26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0.15</v>
      </c>
      <c r="K26" s="69">
        <f>_xlfn.XLOOKUP(TB_Vendas[[#This Row],[Vendedor]],TB_Vendedor[Código],TB_Vendedor[Desc. Máximo])</f>
        <v>0.2</v>
      </c>
      <c r="L26" s="69">
        <f>IF(TB_Vendas[[#This Row],[Desconto 
(Diretão)]]&lt;=TB_Vendas[[#This Row],[Desconto 
(Vendedor)]],TB_Vendas[[#This Row],[Desconto 
(Diretão)]],TB_Vendas[[#This Row],[Desconto 
(Vendedor)]])</f>
        <v>0.15</v>
      </c>
      <c r="M26" s="63">
        <f>TB_Vendas[[#This Row],[Preço Unitário]]*TB_Vendas[[#This Row],[Qtd]]</f>
        <v>109.8</v>
      </c>
      <c r="N26" s="62" t="s">
        <v>126</v>
      </c>
    </row>
    <row r="27" spans="1:14">
      <c r="A27" s="9">
        <f>MONTH(TB_Vendas[[#This Row],[Data]])</f>
        <v>3</v>
      </c>
      <c r="B27" s="66" t="str">
        <f>PROPER(TEXT(DATE(,TB_Vendas[[#This Row],[Nº]],1),"Mmm"))</f>
        <v>Mar</v>
      </c>
      <c r="C27" s="67">
        <v>44989</v>
      </c>
      <c r="D27" s="66" t="s">
        <v>69</v>
      </c>
      <c r="E27" s="66" t="str">
        <f>_xlfn.XLOOKUP(TB_Vendas[[#This Row],[Código]],TB_Produtos[Código],TB_Produtos[Categoria])</f>
        <v>Vestuário</v>
      </c>
      <c r="F27" s="62">
        <v>3</v>
      </c>
      <c r="G27" s="68">
        <f>_xlfn.XLOOKUP(TB_Vendas[[#This Row],[Código]],TB_Produtos[Código],TB_Produtos[Preço Unitário])</f>
        <v>142.9</v>
      </c>
      <c r="H27" s="132">
        <f>_xlfn.XMATCH(TB_Vendas[[#This Row],[Categoria]],'Cadastros Auxiliares'!$B$8:$E$8,0)</f>
        <v>3</v>
      </c>
      <c r="I27" s="69">
        <f>VLOOKUP(TB_Vendas[[#This Row],[Qtd]],'Cadastros Auxiliares'!$B$8:$E$13,Vendas!H27,TRUE)</f>
        <v>0.2</v>
      </c>
      <c r="J27" s="69" cm="1">
        <f t="array" ref="J27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0.2</v>
      </c>
      <c r="K27" s="69">
        <f>_xlfn.XLOOKUP(TB_Vendas[[#This Row],[Vendedor]],TB_Vendedor[Código],TB_Vendedor[Desc. Máximo])</f>
        <v>0.25</v>
      </c>
      <c r="L27" s="69">
        <f>IF(TB_Vendas[[#This Row],[Desconto 
(Diretão)]]&lt;=TB_Vendas[[#This Row],[Desconto 
(Vendedor)]],TB_Vendas[[#This Row],[Desconto 
(Diretão)]],TB_Vendas[[#This Row],[Desconto 
(Vendedor)]])</f>
        <v>0.2</v>
      </c>
      <c r="M27" s="63">
        <f>TB_Vendas[[#This Row],[Preço Unitário]]*TB_Vendas[[#This Row],[Qtd]]</f>
        <v>428.70000000000005</v>
      </c>
      <c r="N27" s="62" t="s">
        <v>127</v>
      </c>
    </row>
    <row r="28" spans="1:14">
      <c r="A28" s="9">
        <f>MONTH(TB_Vendas[[#This Row],[Data]])</f>
        <v>3</v>
      </c>
      <c r="B28" s="66" t="str">
        <f>PROPER(TEXT(DATE(,TB_Vendas[[#This Row],[Nº]],1),"Mmm"))</f>
        <v>Mar</v>
      </c>
      <c r="C28" s="67">
        <v>44994</v>
      </c>
      <c r="D28" s="66" t="s">
        <v>58</v>
      </c>
      <c r="E28" s="66" t="str">
        <f>_xlfn.XLOOKUP(TB_Vendas[[#This Row],[Código]],TB_Produtos[Código],TB_Produtos[Categoria])</f>
        <v>Acessórios</v>
      </c>
      <c r="F28" s="62">
        <v>2</v>
      </c>
      <c r="G28" s="68">
        <f>_xlfn.XLOOKUP(TB_Vendas[[#This Row],[Código]],TB_Produtos[Código],TB_Produtos[Preço Unitário])</f>
        <v>120</v>
      </c>
      <c r="H28" s="132">
        <f>_xlfn.XMATCH(TB_Vendas[[#This Row],[Categoria]],'Cadastros Auxiliares'!$B$8:$E$8,0)</f>
        <v>2</v>
      </c>
      <c r="I28" s="69">
        <f>VLOOKUP(TB_Vendas[[#This Row],[Qtd]],'Cadastros Auxiliares'!$B$8:$E$13,Vendas!H28,TRUE)</f>
        <v>0.05</v>
      </c>
      <c r="J28" s="69" cm="1">
        <f t="array" ref="J28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0.05</v>
      </c>
      <c r="K28" s="69">
        <f>_xlfn.XLOOKUP(TB_Vendas[[#This Row],[Vendedor]],TB_Vendedor[Código],TB_Vendedor[Desc. Máximo])</f>
        <v>0.25</v>
      </c>
      <c r="L28" s="69">
        <f>IF(TB_Vendas[[#This Row],[Desconto 
(Diretão)]]&lt;=TB_Vendas[[#This Row],[Desconto 
(Vendedor)]],TB_Vendas[[#This Row],[Desconto 
(Diretão)]],TB_Vendas[[#This Row],[Desconto 
(Vendedor)]])</f>
        <v>0.05</v>
      </c>
      <c r="M28" s="63">
        <f>TB_Vendas[[#This Row],[Preço Unitário]]*TB_Vendas[[#This Row],[Qtd]]</f>
        <v>240</v>
      </c>
      <c r="N28" s="62" t="s">
        <v>127</v>
      </c>
    </row>
    <row r="29" spans="1:14">
      <c r="A29" s="9">
        <f>MONTH(TB_Vendas[[#This Row],[Data]])</f>
        <v>3</v>
      </c>
      <c r="B29" s="66" t="str">
        <f>PROPER(TEXT(DATE(,TB_Vendas[[#This Row],[Nº]],1),"Mmm"))</f>
        <v>Mar</v>
      </c>
      <c r="C29" s="67">
        <v>44999</v>
      </c>
      <c r="D29" s="66" t="s">
        <v>32</v>
      </c>
      <c r="E29" s="66" t="str">
        <f>_xlfn.XLOOKUP(TB_Vendas[[#This Row],[Código]],TB_Produtos[Código],TB_Produtos[Categoria])</f>
        <v>Vestuário</v>
      </c>
      <c r="F29" s="62">
        <v>1</v>
      </c>
      <c r="G29" s="68">
        <f>_xlfn.XLOOKUP(TB_Vendas[[#This Row],[Código]],TB_Produtos[Código],TB_Produtos[Preço Unitário])</f>
        <v>65.900000000000006</v>
      </c>
      <c r="H29" s="132">
        <f>_xlfn.XMATCH(TB_Vendas[[#This Row],[Categoria]],'Cadastros Auxiliares'!$B$8:$E$8,0)</f>
        <v>3</v>
      </c>
      <c r="I29" s="69">
        <f>VLOOKUP(TB_Vendas[[#This Row],[Qtd]],'Cadastros Auxiliares'!$B$8:$E$13,Vendas!H29,TRUE)</f>
        <v>0.1</v>
      </c>
      <c r="J29" s="69" cm="1">
        <f t="array" ref="J29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</v>
      </c>
      <c r="K29" s="69">
        <f>_xlfn.XLOOKUP(TB_Vendas[[#This Row],[Vendedor]],TB_Vendedor[Código],TB_Vendedor[Desc. Máximo])</f>
        <v>0.2</v>
      </c>
      <c r="L29" s="69">
        <f>IF(TB_Vendas[[#This Row],[Desconto 
(Diretão)]]&lt;=TB_Vendas[[#This Row],[Desconto 
(Vendedor)]],TB_Vendas[[#This Row],[Desconto 
(Diretão)]],TB_Vendas[[#This Row],[Desconto 
(Vendedor)]])</f>
        <v>0.1</v>
      </c>
      <c r="M29" s="63">
        <f>TB_Vendas[[#This Row],[Preço Unitário]]*TB_Vendas[[#This Row],[Qtd]]</f>
        <v>65.900000000000006</v>
      </c>
      <c r="N29" s="62" t="s">
        <v>129</v>
      </c>
    </row>
    <row r="30" spans="1:14">
      <c r="A30" s="9">
        <f>MONTH(TB_Vendas[[#This Row],[Data]])</f>
        <v>3</v>
      </c>
      <c r="B30" s="66" t="str">
        <f>PROPER(TEXT(DATE(,TB_Vendas[[#This Row],[Nº]],1),"Mmm"))</f>
        <v>Mar</v>
      </c>
      <c r="C30" s="67">
        <v>45004</v>
      </c>
      <c r="D30" s="66" t="s">
        <v>107</v>
      </c>
      <c r="E30" s="66" t="str">
        <f>_xlfn.XLOOKUP(TB_Vendas[[#This Row],[Código]],TB_Produtos[Código],TB_Produtos[Categoria])</f>
        <v>Vestuário</v>
      </c>
      <c r="F30" s="62">
        <v>5</v>
      </c>
      <c r="G30" s="68">
        <f>_xlfn.XLOOKUP(TB_Vendas[[#This Row],[Código]],TB_Produtos[Código],TB_Produtos[Preço Unitário])</f>
        <v>32.9</v>
      </c>
      <c r="H30" s="132">
        <f>_xlfn.XMATCH(TB_Vendas[[#This Row],[Categoria]],'Cadastros Auxiliares'!$B$8:$E$8,0)</f>
        <v>3</v>
      </c>
      <c r="I30" s="69">
        <f>VLOOKUP(TB_Vendas[[#This Row],[Qtd]],'Cadastros Auxiliares'!$B$8:$E$13,Vendas!H30,TRUE)</f>
        <v>0.25</v>
      </c>
      <c r="J30" s="69" cm="1">
        <f t="array" ref="J30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0.25</v>
      </c>
      <c r="K30" s="69">
        <f>_xlfn.XLOOKUP(TB_Vendas[[#This Row],[Vendedor]],TB_Vendedor[Código],TB_Vendedor[Desc. Máximo])</f>
        <v>0.15</v>
      </c>
      <c r="L30" s="69">
        <f>IF(TB_Vendas[[#This Row],[Desconto 
(Diretão)]]&lt;=TB_Vendas[[#This Row],[Desconto 
(Vendedor)]],TB_Vendas[[#This Row],[Desconto 
(Diretão)]],TB_Vendas[[#This Row],[Desconto 
(Vendedor)]])</f>
        <v>0.15</v>
      </c>
      <c r="M30" s="63">
        <f>TB_Vendas[[#This Row],[Preço Unitário]]*TB_Vendas[[#This Row],[Qtd]]</f>
        <v>164.5</v>
      </c>
      <c r="N30" s="62" t="s">
        <v>130</v>
      </c>
    </row>
    <row r="31" spans="1:14">
      <c r="A31" s="9">
        <f>MONTH(TB_Vendas[[#This Row],[Data]])</f>
        <v>3</v>
      </c>
      <c r="B31" s="66" t="str">
        <f>PROPER(TEXT(DATE(,TB_Vendas[[#This Row],[Nº]],1),"Mmm"))</f>
        <v>Mar</v>
      </c>
      <c r="C31" s="67">
        <v>45006</v>
      </c>
      <c r="D31" s="66" t="s">
        <v>122</v>
      </c>
      <c r="E31" s="66" t="str">
        <f>_xlfn.XLOOKUP(TB_Vendas[[#This Row],[Código]],TB_Produtos[Código],TB_Produtos[Categoria])</f>
        <v>Vestuário</v>
      </c>
      <c r="F31" s="62">
        <v>2</v>
      </c>
      <c r="G31" s="68">
        <f>_xlfn.XLOOKUP(TB_Vendas[[#This Row],[Código]],TB_Produtos[Código],TB_Produtos[Preço Unitário])</f>
        <v>180</v>
      </c>
      <c r="H31" s="132">
        <f>_xlfn.XMATCH(TB_Vendas[[#This Row],[Categoria]],'Cadastros Auxiliares'!$B$8:$E$8,0)</f>
        <v>3</v>
      </c>
      <c r="I31" s="69">
        <f>VLOOKUP(TB_Vendas[[#This Row],[Qtd]],'Cadastros Auxiliares'!$B$8:$E$13,Vendas!H31,TRUE)</f>
        <v>0.15</v>
      </c>
      <c r="J31" s="69" cm="1">
        <f t="array" ref="J31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0.15</v>
      </c>
      <c r="K31" s="69">
        <f>_xlfn.XLOOKUP(TB_Vendas[[#This Row],[Vendedor]],TB_Vendedor[Código],TB_Vendedor[Desc. Máximo])</f>
        <v>0.25</v>
      </c>
      <c r="L31" s="69">
        <f>IF(TB_Vendas[[#This Row],[Desconto 
(Diretão)]]&lt;=TB_Vendas[[#This Row],[Desconto 
(Vendedor)]],TB_Vendas[[#This Row],[Desconto 
(Diretão)]],TB_Vendas[[#This Row],[Desconto 
(Vendedor)]])</f>
        <v>0.15</v>
      </c>
      <c r="M31" s="63">
        <f>TB_Vendas[[#This Row],[Preço Unitário]]*TB_Vendas[[#This Row],[Qtd]]</f>
        <v>360</v>
      </c>
      <c r="N31" s="62" t="s">
        <v>127</v>
      </c>
    </row>
    <row r="32" spans="1:14">
      <c r="A32" s="9">
        <f>MONTH(TB_Vendas[[#This Row],[Data]])</f>
        <v>3</v>
      </c>
      <c r="B32" s="66" t="str">
        <f>PROPER(TEXT(DATE(,TB_Vendas[[#This Row],[Nº]],1),"Mmm"))</f>
        <v>Mar</v>
      </c>
      <c r="C32" s="67">
        <v>45010</v>
      </c>
      <c r="D32" s="66" t="s">
        <v>57</v>
      </c>
      <c r="E32" s="66" t="str">
        <f>_xlfn.XLOOKUP(TB_Vendas[[#This Row],[Código]],TB_Produtos[Código],TB_Produtos[Categoria])</f>
        <v>Acessórios</v>
      </c>
      <c r="F32" s="62">
        <v>3</v>
      </c>
      <c r="G32" s="68">
        <f>_xlfn.XLOOKUP(TB_Vendas[[#This Row],[Código]],TB_Produtos[Código],TB_Produtos[Preço Unitário])</f>
        <v>349.9</v>
      </c>
      <c r="H32" s="132">
        <f>_xlfn.XMATCH(TB_Vendas[[#This Row],[Categoria]],'Cadastros Auxiliares'!$B$8:$E$8,0)</f>
        <v>2</v>
      </c>
      <c r="I32" s="69">
        <f>VLOOKUP(TB_Vendas[[#This Row],[Qtd]],'Cadastros Auxiliares'!$B$8:$E$13,Vendas!H32,TRUE)</f>
        <v>0.15</v>
      </c>
      <c r="J32" s="69" cm="1">
        <f t="array" ref="J32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0.15</v>
      </c>
      <c r="K32" s="69">
        <f>_xlfn.XLOOKUP(TB_Vendas[[#This Row],[Vendedor]],TB_Vendedor[Código],TB_Vendedor[Desc. Máximo])</f>
        <v>0.2</v>
      </c>
      <c r="L32" s="69">
        <f>IF(TB_Vendas[[#This Row],[Desconto 
(Diretão)]]&lt;=TB_Vendas[[#This Row],[Desconto 
(Vendedor)]],TB_Vendas[[#This Row],[Desconto 
(Diretão)]],TB_Vendas[[#This Row],[Desconto 
(Vendedor)]])</f>
        <v>0.15</v>
      </c>
      <c r="M32" s="63">
        <f>TB_Vendas[[#This Row],[Preço Unitário]]*TB_Vendas[[#This Row],[Qtd]]</f>
        <v>1049.6999999999998</v>
      </c>
      <c r="N32" s="62" t="s">
        <v>126</v>
      </c>
    </row>
    <row r="33" spans="1:14">
      <c r="A33" s="9">
        <f>MONTH(TB_Vendas[[#This Row],[Data]])</f>
        <v>4</v>
      </c>
      <c r="B33" s="66" t="str">
        <f>PROPER(TEXT(DATE(,TB_Vendas[[#This Row],[Nº]],1),"Mmm"))</f>
        <v>Abr</v>
      </c>
      <c r="C33" s="67">
        <v>45018</v>
      </c>
      <c r="D33" s="66" t="s">
        <v>101</v>
      </c>
      <c r="E33" s="66" t="str">
        <f>_xlfn.XLOOKUP(TB_Vendas[[#This Row],[Código]],TB_Produtos[Código],TB_Produtos[Categoria])</f>
        <v>Vestuário</v>
      </c>
      <c r="F33" s="62">
        <v>1</v>
      </c>
      <c r="G33" s="68">
        <f>_xlfn.XLOOKUP(TB_Vendas[[#This Row],[Código]],TB_Produtos[Código],TB_Produtos[Preço Unitário])</f>
        <v>72.5</v>
      </c>
      <c r="H33" s="132">
        <f>_xlfn.XMATCH(TB_Vendas[[#This Row],[Categoria]],'Cadastros Auxiliares'!$B$8:$E$8,0)</f>
        <v>3</v>
      </c>
      <c r="I33" s="69">
        <f>VLOOKUP(TB_Vendas[[#This Row],[Qtd]],'Cadastros Auxiliares'!$B$8:$E$13,Vendas!H33,TRUE)</f>
        <v>0.1</v>
      </c>
      <c r="J33" s="69" cm="1">
        <f t="array" ref="J33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</v>
      </c>
      <c r="K33" s="69">
        <f>_xlfn.XLOOKUP(TB_Vendas[[#This Row],[Vendedor]],TB_Vendedor[Código],TB_Vendedor[Desc. Máximo])</f>
        <v>0.1</v>
      </c>
      <c r="L33" s="69">
        <f>IF(TB_Vendas[[#This Row],[Desconto 
(Diretão)]]&lt;=TB_Vendas[[#This Row],[Desconto 
(Vendedor)]],TB_Vendas[[#This Row],[Desconto 
(Diretão)]],TB_Vendas[[#This Row],[Desconto 
(Vendedor)]])</f>
        <v>0.1</v>
      </c>
      <c r="M33" s="63">
        <f>TB_Vendas[[#This Row],[Preço Unitário]]*TB_Vendas[[#This Row],[Qtd]]</f>
        <v>72.5</v>
      </c>
      <c r="N33" s="62" t="s">
        <v>128</v>
      </c>
    </row>
    <row r="34" spans="1:14">
      <c r="A34" s="9">
        <f>MONTH(TB_Vendas[[#This Row],[Data]])</f>
        <v>4</v>
      </c>
      <c r="B34" s="66" t="str">
        <f>PROPER(TEXT(DATE(,TB_Vendas[[#This Row],[Nº]],1),"Mmm"))</f>
        <v>Abr</v>
      </c>
      <c r="C34" s="67">
        <v>45020</v>
      </c>
      <c r="D34" s="66" t="s">
        <v>55</v>
      </c>
      <c r="E34" s="66" t="str">
        <f>_xlfn.XLOOKUP(TB_Vendas[[#This Row],[Código]],TB_Produtos[Código],TB_Produtos[Categoria])</f>
        <v>Vestuário</v>
      </c>
      <c r="F34" s="62">
        <v>4</v>
      </c>
      <c r="G34" s="68">
        <f>_xlfn.XLOOKUP(TB_Vendas[[#This Row],[Código]],TB_Produtos[Código],TB_Produtos[Preço Unitário])</f>
        <v>259.89999999999998</v>
      </c>
      <c r="H34" s="132">
        <f>_xlfn.XMATCH(TB_Vendas[[#This Row],[Categoria]],'Cadastros Auxiliares'!$B$8:$E$8,0)</f>
        <v>3</v>
      </c>
      <c r="I34" s="69">
        <f>VLOOKUP(TB_Vendas[[#This Row],[Qtd]],'Cadastros Auxiliares'!$B$8:$E$13,Vendas!H34,TRUE)</f>
        <v>0.2</v>
      </c>
      <c r="J34" s="69" cm="1">
        <f t="array" ref="J34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0.2</v>
      </c>
      <c r="K34" s="69">
        <f>_xlfn.XLOOKUP(TB_Vendas[[#This Row],[Vendedor]],TB_Vendedor[Código],TB_Vendedor[Desc. Máximo])</f>
        <v>0.2</v>
      </c>
      <c r="L34" s="69">
        <f>IF(TB_Vendas[[#This Row],[Desconto 
(Diretão)]]&lt;=TB_Vendas[[#This Row],[Desconto 
(Vendedor)]],TB_Vendas[[#This Row],[Desconto 
(Diretão)]],TB_Vendas[[#This Row],[Desconto 
(Vendedor)]])</f>
        <v>0.2</v>
      </c>
      <c r="M34" s="63">
        <f>TB_Vendas[[#This Row],[Preço Unitário]]*TB_Vendas[[#This Row],[Qtd]]</f>
        <v>1039.5999999999999</v>
      </c>
      <c r="N34" s="62" t="s">
        <v>126</v>
      </c>
    </row>
    <row r="35" spans="1:14">
      <c r="A35" s="9">
        <f>MONTH(TB_Vendas[[#This Row],[Data]])</f>
        <v>4</v>
      </c>
      <c r="B35" s="66" t="str">
        <f>PROPER(TEXT(DATE(,TB_Vendas[[#This Row],[Nº]],1),"Mmm"))</f>
        <v>Abr</v>
      </c>
      <c r="C35" s="67">
        <v>45024</v>
      </c>
      <c r="D35" s="66" t="s">
        <v>47</v>
      </c>
      <c r="E35" s="66" t="str">
        <f>_xlfn.XLOOKUP(TB_Vendas[[#This Row],[Código]],TB_Produtos[Código],TB_Produtos[Categoria])</f>
        <v>Vestuário</v>
      </c>
      <c r="F35" s="62">
        <v>3</v>
      </c>
      <c r="G35" s="68">
        <f>_xlfn.XLOOKUP(TB_Vendas[[#This Row],[Código]],TB_Produtos[Código],TB_Produtos[Preço Unitário])</f>
        <v>25.9</v>
      </c>
      <c r="H35" s="132">
        <f>_xlfn.XMATCH(TB_Vendas[[#This Row],[Categoria]],'Cadastros Auxiliares'!$B$8:$E$8,0)</f>
        <v>3</v>
      </c>
      <c r="I35" s="69">
        <f>VLOOKUP(TB_Vendas[[#This Row],[Qtd]],'Cadastros Auxiliares'!$B$8:$E$13,Vendas!H35,TRUE)</f>
        <v>0.2</v>
      </c>
      <c r="J35" s="69" cm="1">
        <f t="array" ref="J35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0.2</v>
      </c>
      <c r="K35" s="69">
        <f>_xlfn.XLOOKUP(TB_Vendas[[#This Row],[Vendedor]],TB_Vendedor[Código],TB_Vendedor[Desc. Máximo])</f>
        <v>0.25</v>
      </c>
      <c r="L35" s="69">
        <f>IF(TB_Vendas[[#This Row],[Desconto 
(Diretão)]]&lt;=TB_Vendas[[#This Row],[Desconto 
(Vendedor)]],TB_Vendas[[#This Row],[Desconto 
(Diretão)]],TB_Vendas[[#This Row],[Desconto 
(Vendedor)]])</f>
        <v>0.2</v>
      </c>
      <c r="M35" s="63">
        <f>TB_Vendas[[#This Row],[Preço Unitário]]*TB_Vendas[[#This Row],[Qtd]]</f>
        <v>77.699999999999989</v>
      </c>
      <c r="N35" s="62" t="s">
        <v>127</v>
      </c>
    </row>
    <row r="36" spans="1:14">
      <c r="A36" s="9">
        <f>MONTH(TB_Vendas[[#This Row],[Data]])</f>
        <v>4</v>
      </c>
      <c r="B36" s="66" t="str">
        <f>PROPER(TEXT(DATE(,TB_Vendas[[#This Row],[Nº]],1),"Mmm"))</f>
        <v>Abr</v>
      </c>
      <c r="C36" s="67">
        <v>45027</v>
      </c>
      <c r="D36" s="66" t="s">
        <v>35</v>
      </c>
      <c r="E36" s="66" t="str">
        <f>_xlfn.XLOOKUP(TB_Vendas[[#This Row],[Código]],TB_Produtos[Código],TB_Produtos[Categoria])</f>
        <v>Acessórios</v>
      </c>
      <c r="F36" s="62">
        <v>2</v>
      </c>
      <c r="G36" s="68">
        <f>_xlfn.XLOOKUP(TB_Vendas[[#This Row],[Código]],TB_Produtos[Código],TB_Produtos[Preço Unitário])</f>
        <v>145</v>
      </c>
      <c r="H36" s="132">
        <f>_xlfn.XMATCH(TB_Vendas[[#This Row],[Categoria]],'Cadastros Auxiliares'!$B$8:$E$8,0)</f>
        <v>2</v>
      </c>
      <c r="I36" s="69">
        <f>VLOOKUP(TB_Vendas[[#This Row],[Qtd]],'Cadastros Auxiliares'!$B$8:$E$13,Vendas!H36,TRUE)</f>
        <v>0.05</v>
      </c>
      <c r="J36" s="69" cm="1">
        <f t="array" ref="J36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0.05</v>
      </c>
      <c r="K36" s="69">
        <f>_xlfn.XLOOKUP(TB_Vendas[[#This Row],[Vendedor]],TB_Vendedor[Código],TB_Vendedor[Desc. Máximo])</f>
        <v>0.2</v>
      </c>
      <c r="L36" s="69">
        <f>IF(TB_Vendas[[#This Row],[Desconto 
(Diretão)]]&lt;=TB_Vendas[[#This Row],[Desconto 
(Vendedor)]],TB_Vendas[[#This Row],[Desconto 
(Diretão)]],TB_Vendas[[#This Row],[Desconto 
(Vendedor)]])</f>
        <v>0.05</v>
      </c>
      <c r="M36" s="63">
        <f>TB_Vendas[[#This Row],[Preço Unitário]]*TB_Vendas[[#This Row],[Qtd]]</f>
        <v>290</v>
      </c>
      <c r="N36" s="62" t="s">
        <v>126</v>
      </c>
    </row>
    <row r="37" spans="1:14">
      <c r="A37" s="9">
        <f>MONTH(TB_Vendas[[#This Row],[Data]])</f>
        <v>4</v>
      </c>
      <c r="B37" s="66" t="str">
        <f>PROPER(TEXT(DATE(,TB_Vendas[[#This Row],[Nº]],1),"Mmm"))</f>
        <v>Abr</v>
      </c>
      <c r="C37" s="67">
        <v>45028</v>
      </c>
      <c r="D37" s="66" t="s">
        <v>37</v>
      </c>
      <c r="E37" s="66" t="str">
        <f>_xlfn.XLOOKUP(TB_Vendas[[#This Row],[Código]],TB_Produtos[Código],TB_Produtos[Categoria])</f>
        <v>Acessórios</v>
      </c>
      <c r="F37" s="62">
        <v>1</v>
      </c>
      <c r="G37" s="68">
        <f>_xlfn.XLOOKUP(TB_Vendas[[#This Row],[Código]],TB_Produtos[Código],TB_Produtos[Preço Unitário])</f>
        <v>39.9</v>
      </c>
      <c r="H37" s="132">
        <f>_xlfn.XMATCH(TB_Vendas[[#This Row],[Categoria]],'Cadastros Auxiliares'!$B$8:$E$8,0)</f>
        <v>2</v>
      </c>
      <c r="I37" s="69">
        <f>VLOOKUP(TB_Vendas[[#This Row],[Qtd]],'Cadastros Auxiliares'!$B$8:$E$13,Vendas!H37,TRUE)</f>
        <v>0</v>
      </c>
      <c r="J37" s="69" cm="1">
        <f t="array" ref="J37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</v>
      </c>
      <c r="K37" s="69">
        <f>_xlfn.XLOOKUP(TB_Vendas[[#This Row],[Vendedor]],TB_Vendedor[Código],TB_Vendedor[Desc. Máximo])</f>
        <v>0.25</v>
      </c>
      <c r="L37" s="69">
        <f>IF(TB_Vendas[[#This Row],[Desconto 
(Diretão)]]&lt;=TB_Vendas[[#This Row],[Desconto 
(Vendedor)]],TB_Vendas[[#This Row],[Desconto 
(Diretão)]],TB_Vendas[[#This Row],[Desconto 
(Vendedor)]])</f>
        <v>0</v>
      </c>
      <c r="M37" s="63">
        <f>TB_Vendas[[#This Row],[Preço Unitário]]*TB_Vendas[[#This Row],[Qtd]]</f>
        <v>39.9</v>
      </c>
      <c r="N37" s="62" t="s">
        <v>127</v>
      </c>
    </row>
    <row r="38" spans="1:14">
      <c r="A38" s="9">
        <f>MONTH(TB_Vendas[[#This Row],[Data]])</f>
        <v>4</v>
      </c>
      <c r="B38" s="66" t="str">
        <f>PROPER(TEXT(DATE(,TB_Vendas[[#This Row],[Nº]],1),"Mmm"))</f>
        <v>Abr</v>
      </c>
      <c r="C38" s="67">
        <v>45029</v>
      </c>
      <c r="D38" s="66" t="s">
        <v>57</v>
      </c>
      <c r="E38" s="66" t="str">
        <f>_xlfn.XLOOKUP(TB_Vendas[[#This Row],[Código]],TB_Produtos[Código],TB_Produtos[Categoria])</f>
        <v>Acessórios</v>
      </c>
      <c r="F38" s="62">
        <v>3</v>
      </c>
      <c r="G38" s="68">
        <f>_xlfn.XLOOKUP(TB_Vendas[[#This Row],[Código]],TB_Produtos[Código],TB_Produtos[Preço Unitário])</f>
        <v>349.9</v>
      </c>
      <c r="H38" s="132">
        <f>_xlfn.XMATCH(TB_Vendas[[#This Row],[Categoria]],'Cadastros Auxiliares'!$B$8:$E$8,0)</f>
        <v>2</v>
      </c>
      <c r="I38" s="69">
        <f>VLOOKUP(TB_Vendas[[#This Row],[Qtd]],'Cadastros Auxiliares'!$B$8:$E$13,Vendas!H38,TRUE)</f>
        <v>0.15</v>
      </c>
      <c r="J38" s="69" cm="1">
        <f t="array" ref="J38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0.15</v>
      </c>
      <c r="K38" s="69">
        <f>_xlfn.XLOOKUP(TB_Vendas[[#This Row],[Vendedor]],TB_Vendedor[Código],TB_Vendedor[Desc. Máximo])</f>
        <v>0.2</v>
      </c>
      <c r="L38" s="69">
        <f>IF(TB_Vendas[[#This Row],[Desconto 
(Diretão)]]&lt;=TB_Vendas[[#This Row],[Desconto 
(Vendedor)]],TB_Vendas[[#This Row],[Desconto 
(Diretão)]],TB_Vendas[[#This Row],[Desconto 
(Vendedor)]])</f>
        <v>0.15</v>
      </c>
      <c r="M38" s="63">
        <f>TB_Vendas[[#This Row],[Preço Unitário]]*TB_Vendas[[#This Row],[Qtd]]</f>
        <v>1049.6999999999998</v>
      </c>
      <c r="N38" s="62" t="s">
        <v>129</v>
      </c>
    </row>
    <row r="39" spans="1:14">
      <c r="A39" s="9">
        <f>MONTH(TB_Vendas[[#This Row],[Data]])</f>
        <v>4</v>
      </c>
      <c r="B39" s="66" t="str">
        <f>PROPER(TEXT(DATE(,TB_Vendas[[#This Row],[Nº]],1),"Mmm"))</f>
        <v>Abr</v>
      </c>
      <c r="C39" s="67">
        <v>45031</v>
      </c>
      <c r="D39" s="66" t="s">
        <v>118</v>
      </c>
      <c r="E39" s="66" t="str">
        <f>_xlfn.XLOOKUP(TB_Vendas[[#This Row],[Código]],TB_Produtos[Código],TB_Produtos[Categoria])</f>
        <v>Calçado</v>
      </c>
      <c r="F39" s="62">
        <v>4</v>
      </c>
      <c r="G39" s="68">
        <f>_xlfn.XLOOKUP(TB_Vendas[[#This Row],[Código]],TB_Produtos[Código],TB_Produtos[Preço Unitário])</f>
        <v>89.9</v>
      </c>
      <c r="H39" s="132">
        <f>_xlfn.XMATCH(TB_Vendas[[#This Row],[Categoria]],'Cadastros Auxiliares'!$B$8:$E$8,0)</f>
        <v>4</v>
      </c>
      <c r="I39" s="69">
        <f>VLOOKUP(TB_Vendas[[#This Row],[Qtd]],'Cadastros Auxiliares'!$B$8:$E$13,Vendas!H39,TRUE)</f>
        <v>0.15</v>
      </c>
      <c r="J39" s="69" cm="1">
        <f t="array" ref="J39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0.15</v>
      </c>
      <c r="K39" s="69">
        <f>_xlfn.XLOOKUP(TB_Vendas[[#This Row],[Vendedor]],TB_Vendedor[Código],TB_Vendedor[Desc. Máximo])</f>
        <v>0.2</v>
      </c>
      <c r="L39" s="69">
        <f>IF(TB_Vendas[[#This Row],[Desconto 
(Diretão)]]&lt;=TB_Vendas[[#This Row],[Desconto 
(Vendedor)]],TB_Vendas[[#This Row],[Desconto 
(Diretão)]],TB_Vendas[[#This Row],[Desconto 
(Vendedor)]])</f>
        <v>0.15</v>
      </c>
      <c r="M39" s="63">
        <f>TB_Vendas[[#This Row],[Preço Unitário]]*TB_Vendas[[#This Row],[Qtd]]</f>
        <v>359.6</v>
      </c>
      <c r="N39" s="62" t="s">
        <v>126</v>
      </c>
    </row>
    <row r="40" spans="1:14">
      <c r="A40" s="9">
        <f>MONTH(TB_Vendas[[#This Row],[Data]])</f>
        <v>4</v>
      </c>
      <c r="B40" s="66" t="str">
        <f>PROPER(TEXT(DATE(,TB_Vendas[[#This Row],[Nº]],1),"Mmm"))</f>
        <v>Abr</v>
      </c>
      <c r="C40" s="67">
        <v>45038</v>
      </c>
      <c r="D40" s="66" t="s">
        <v>115</v>
      </c>
      <c r="E40" s="66" t="str">
        <f>_xlfn.XLOOKUP(TB_Vendas[[#This Row],[Código]],TB_Produtos[Código],TB_Produtos[Categoria])</f>
        <v>Calçado</v>
      </c>
      <c r="F40" s="62">
        <v>2</v>
      </c>
      <c r="G40" s="68">
        <f>_xlfn.XLOOKUP(TB_Vendas[[#This Row],[Código]],TB_Produtos[Código],TB_Produtos[Preço Unitário])</f>
        <v>89.9</v>
      </c>
      <c r="H40" s="132">
        <f>_xlfn.XMATCH(TB_Vendas[[#This Row],[Categoria]],'Cadastros Auxiliares'!$B$8:$E$8,0)</f>
        <v>4</v>
      </c>
      <c r="I40" s="69">
        <f>VLOOKUP(TB_Vendas[[#This Row],[Qtd]],'Cadastros Auxiliares'!$B$8:$E$13,Vendas!H40,TRUE)</f>
        <v>0.1</v>
      </c>
      <c r="J40" s="69" cm="1">
        <f t="array" ref="J40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</v>
      </c>
      <c r="K40" s="69">
        <f>_xlfn.XLOOKUP(TB_Vendas[[#This Row],[Vendedor]],TB_Vendedor[Código],TB_Vendedor[Desc. Máximo])</f>
        <v>0.2</v>
      </c>
      <c r="L40" s="69">
        <f>IF(TB_Vendas[[#This Row],[Desconto 
(Diretão)]]&lt;=TB_Vendas[[#This Row],[Desconto 
(Vendedor)]],TB_Vendas[[#This Row],[Desconto 
(Diretão)]],TB_Vendas[[#This Row],[Desconto 
(Vendedor)]])</f>
        <v>0.1</v>
      </c>
      <c r="M40" s="63">
        <f>TB_Vendas[[#This Row],[Preço Unitário]]*TB_Vendas[[#This Row],[Qtd]]</f>
        <v>179.8</v>
      </c>
      <c r="N40" s="62" t="s">
        <v>129</v>
      </c>
    </row>
    <row r="41" spans="1:14">
      <c r="A41" s="9">
        <f>MONTH(TB_Vendas[[#This Row],[Data]])</f>
        <v>4</v>
      </c>
      <c r="B41" s="66" t="str">
        <f>PROPER(TEXT(DATE(,TB_Vendas[[#This Row],[Nº]],1),"Mmm"))</f>
        <v>Abr</v>
      </c>
      <c r="C41" s="67">
        <v>45039</v>
      </c>
      <c r="D41" s="66" t="s">
        <v>33</v>
      </c>
      <c r="E41" s="66" t="str">
        <f>_xlfn.XLOOKUP(TB_Vendas[[#This Row],[Código]],TB_Produtos[Código],TB_Produtos[Categoria])</f>
        <v>Vestuário</v>
      </c>
      <c r="F41" s="62">
        <v>3</v>
      </c>
      <c r="G41" s="68">
        <f>_xlfn.XLOOKUP(TB_Vendas[[#This Row],[Código]],TB_Produtos[Código],TB_Produtos[Preço Unitário])</f>
        <v>69.900000000000006</v>
      </c>
      <c r="H41" s="132">
        <f>_xlfn.XMATCH(TB_Vendas[[#This Row],[Categoria]],'Cadastros Auxiliares'!$B$8:$E$8,0)</f>
        <v>3</v>
      </c>
      <c r="I41" s="69">
        <f>VLOOKUP(TB_Vendas[[#This Row],[Qtd]],'Cadastros Auxiliares'!$B$8:$E$13,Vendas!H41,TRUE)</f>
        <v>0.2</v>
      </c>
      <c r="J41" s="69" cm="1">
        <f t="array" ref="J41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0.2</v>
      </c>
      <c r="K41" s="69">
        <f>_xlfn.XLOOKUP(TB_Vendas[[#This Row],[Vendedor]],TB_Vendedor[Código],TB_Vendedor[Desc. Máximo])</f>
        <v>0.2</v>
      </c>
      <c r="L41" s="69">
        <f>IF(TB_Vendas[[#This Row],[Desconto 
(Diretão)]]&lt;=TB_Vendas[[#This Row],[Desconto 
(Vendedor)]],TB_Vendas[[#This Row],[Desconto 
(Diretão)]],TB_Vendas[[#This Row],[Desconto 
(Vendedor)]])</f>
        <v>0.2</v>
      </c>
      <c r="M41" s="63">
        <f>TB_Vendas[[#This Row],[Preço Unitário]]*TB_Vendas[[#This Row],[Qtd]]</f>
        <v>209.70000000000002</v>
      </c>
      <c r="N41" s="62" t="s">
        <v>126</v>
      </c>
    </row>
    <row r="42" spans="1:14">
      <c r="A42" s="9">
        <f>MONTH(TB_Vendas[[#This Row],[Data]])</f>
        <v>4</v>
      </c>
      <c r="B42" s="66" t="str">
        <f>PROPER(TEXT(DATE(,TB_Vendas[[#This Row],[Nº]],1),"Mmm"))</f>
        <v>Abr</v>
      </c>
      <c r="C42" s="67">
        <v>45042</v>
      </c>
      <c r="D42" s="66" t="s">
        <v>35</v>
      </c>
      <c r="E42" s="66" t="str">
        <f>_xlfn.XLOOKUP(TB_Vendas[[#This Row],[Código]],TB_Produtos[Código],TB_Produtos[Categoria])</f>
        <v>Acessórios</v>
      </c>
      <c r="F42" s="62">
        <v>1</v>
      </c>
      <c r="G42" s="68">
        <f>_xlfn.XLOOKUP(TB_Vendas[[#This Row],[Código]],TB_Produtos[Código],TB_Produtos[Preço Unitário])</f>
        <v>145</v>
      </c>
      <c r="H42" s="132">
        <f>_xlfn.XMATCH(TB_Vendas[[#This Row],[Categoria]],'Cadastros Auxiliares'!$B$8:$E$8,0)</f>
        <v>2</v>
      </c>
      <c r="I42" s="69">
        <f>VLOOKUP(TB_Vendas[[#This Row],[Qtd]],'Cadastros Auxiliares'!$B$8:$E$13,Vendas!H42,TRUE)</f>
        <v>0</v>
      </c>
      <c r="J42" s="69" cm="1">
        <f t="array" ref="J42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</v>
      </c>
      <c r="K42" s="69">
        <f>_xlfn.XLOOKUP(TB_Vendas[[#This Row],[Vendedor]],TB_Vendedor[Código],TB_Vendedor[Desc. Máximo])</f>
        <v>0.15</v>
      </c>
      <c r="L42" s="69">
        <f>IF(TB_Vendas[[#This Row],[Desconto 
(Diretão)]]&lt;=TB_Vendas[[#This Row],[Desconto 
(Vendedor)]],TB_Vendas[[#This Row],[Desconto 
(Diretão)]],TB_Vendas[[#This Row],[Desconto 
(Vendedor)]])</f>
        <v>0</v>
      </c>
      <c r="M42" s="63">
        <f>TB_Vendas[[#This Row],[Preço Unitário]]*TB_Vendas[[#This Row],[Qtd]]</f>
        <v>145</v>
      </c>
      <c r="N42" s="62" t="s">
        <v>130</v>
      </c>
    </row>
    <row r="43" spans="1:14">
      <c r="A43" s="9">
        <f>MONTH(TB_Vendas[[#This Row],[Data]])</f>
        <v>4</v>
      </c>
      <c r="B43" s="66" t="str">
        <f>PROPER(TEXT(DATE(,TB_Vendas[[#This Row],[Nº]],1),"Mmm"))</f>
        <v>Abr</v>
      </c>
      <c r="C43" s="67">
        <v>45043</v>
      </c>
      <c r="D43" s="66" t="s">
        <v>42</v>
      </c>
      <c r="E43" s="66" t="str">
        <f>_xlfn.XLOOKUP(TB_Vendas[[#This Row],[Código]],TB_Produtos[Código],TB_Produtos[Categoria])</f>
        <v>Vestuário</v>
      </c>
      <c r="F43" s="62">
        <v>4</v>
      </c>
      <c r="G43" s="68">
        <f>_xlfn.XLOOKUP(TB_Vendas[[#This Row],[Código]],TB_Produtos[Código],TB_Produtos[Preço Unitário])</f>
        <v>46.9</v>
      </c>
      <c r="H43" s="132">
        <f>_xlfn.XMATCH(TB_Vendas[[#This Row],[Categoria]],'Cadastros Auxiliares'!$B$8:$E$8,0)</f>
        <v>3</v>
      </c>
      <c r="I43" s="69">
        <f>VLOOKUP(TB_Vendas[[#This Row],[Qtd]],'Cadastros Auxiliares'!$B$8:$E$13,Vendas!H43,TRUE)</f>
        <v>0.2</v>
      </c>
      <c r="J43" s="69" cm="1">
        <f t="array" ref="J43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0.2</v>
      </c>
      <c r="K43" s="69">
        <f>_xlfn.XLOOKUP(TB_Vendas[[#This Row],[Vendedor]],TB_Vendedor[Código],TB_Vendedor[Desc. Máximo])</f>
        <v>0.2</v>
      </c>
      <c r="L43" s="69">
        <f>IF(TB_Vendas[[#This Row],[Desconto 
(Diretão)]]&lt;=TB_Vendas[[#This Row],[Desconto 
(Vendedor)]],TB_Vendas[[#This Row],[Desconto 
(Diretão)]],TB_Vendas[[#This Row],[Desconto 
(Vendedor)]])</f>
        <v>0.2</v>
      </c>
      <c r="M43" s="63">
        <f>TB_Vendas[[#This Row],[Preço Unitário]]*TB_Vendas[[#This Row],[Qtd]]</f>
        <v>187.6</v>
      </c>
      <c r="N43" s="62" t="s">
        <v>126</v>
      </c>
    </row>
    <row r="44" spans="1:14">
      <c r="A44" s="9">
        <f>MONTH(TB_Vendas[[#This Row],[Data]])</f>
        <v>5</v>
      </c>
      <c r="B44" s="66" t="str">
        <f>PROPER(TEXT(DATE(,TB_Vendas[[#This Row],[Nº]],1),"Mmm"))</f>
        <v>Mai</v>
      </c>
      <c r="C44" s="67">
        <v>45054</v>
      </c>
      <c r="D44" s="66" t="s">
        <v>99</v>
      </c>
      <c r="E44" s="66" t="str">
        <f>_xlfn.XLOOKUP(TB_Vendas[[#This Row],[Código]],TB_Produtos[Código],TB_Produtos[Categoria])</f>
        <v>Vestuário</v>
      </c>
      <c r="F44" s="62">
        <v>2</v>
      </c>
      <c r="G44" s="68">
        <f>_xlfn.XLOOKUP(TB_Vendas[[#This Row],[Código]],TB_Produtos[Código],TB_Produtos[Preço Unitário])</f>
        <v>72.5</v>
      </c>
      <c r="H44" s="132">
        <f>_xlfn.XMATCH(TB_Vendas[[#This Row],[Categoria]],'Cadastros Auxiliares'!$B$8:$E$8,0)</f>
        <v>3</v>
      </c>
      <c r="I44" s="69">
        <f>VLOOKUP(TB_Vendas[[#This Row],[Qtd]],'Cadastros Auxiliares'!$B$8:$E$13,Vendas!H44,TRUE)</f>
        <v>0.15</v>
      </c>
      <c r="J44" s="69" cm="1">
        <f t="array" ref="J44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0.15</v>
      </c>
      <c r="K44" s="69">
        <f>_xlfn.XLOOKUP(TB_Vendas[[#This Row],[Vendedor]],TB_Vendedor[Código],TB_Vendedor[Desc. Máximo])</f>
        <v>0.15</v>
      </c>
      <c r="L44" s="69">
        <f>IF(TB_Vendas[[#This Row],[Desconto 
(Diretão)]]&lt;=TB_Vendas[[#This Row],[Desconto 
(Vendedor)]],TB_Vendas[[#This Row],[Desconto 
(Diretão)]],TB_Vendas[[#This Row],[Desconto 
(Vendedor)]])</f>
        <v>0.15</v>
      </c>
      <c r="M44" s="63">
        <f>TB_Vendas[[#This Row],[Preço Unitário]]*TB_Vendas[[#This Row],[Qtd]]</f>
        <v>145</v>
      </c>
      <c r="N44" s="62" t="s">
        <v>130</v>
      </c>
    </row>
    <row r="45" spans="1:14">
      <c r="A45" s="9">
        <f>MONTH(TB_Vendas[[#This Row],[Data]])</f>
        <v>5</v>
      </c>
      <c r="B45" s="66" t="str">
        <f>PROPER(TEXT(DATE(,TB_Vendas[[#This Row],[Nº]],1),"Mmm"))</f>
        <v>Mai</v>
      </c>
      <c r="C45" s="67">
        <v>45055</v>
      </c>
      <c r="D45" s="66" t="s">
        <v>68</v>
      </c>
      <c r="E45" s="66" t="str">
        <f>_xlfn.XLOOKUP(TB_Vendas[[#This Row],[Código]],TB_Produtos[Código],TB_Produtos[Categoria])</f>
        <v>Vestuário</v>
      </c>
      <c r="F45" s="62">
        <v>3</v>
      </c>
      <c r="G45" s="68">
        <f>_xlfn.XLOOKUP(TB_Vendas[[#This Row],[Código]],TB_Produtos[Código],TB_Produtos[Preço Unitário])</f>
        <v>140</v>
      </c>
      <c r="H45" s="132">
        <f>_xlfn.XMATCH(TB_Vendas[[#This Row],[Categoria]],'Cadastros Auxiliares'!$B$8:$E$8,0)</f>
        <v>3</v>
      </c>
      <c r="I45" s="69">
        <f>VLOOKUP(TB_Vendas[[#This Row],[Qtd]],'Cadastros Auxiliares'!$B$8:$E$13,Vendas!H45,TRUE)</f>
        <v>0.2</v>
      </c>
      <c r="J45" s="69" cm="1">
        <f t="array" ref="J45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0.2</v>
      </c>
      <c r="K45" s="69">
        <f>_xlfn.XLOOKUP(TB_Vendas[[#This Row],[Vendedor]],TB_Vendedor[Código],TB_Vendedor[Desc. Máximo])</f>
        <v>0.2</v>
      </c>
      <c r="L45" s="69">
        <f>IF(TB_Vendas[[#This Row],[Desconto 
(Diretão)]]&lt;=TB_Vendas[[#This Row],[Desconto 
(Vendedor)]],TB_Vendas[[#This Row],[Desconto 
(Diretão)]],TB_Vendas[[#This Row],[Desconto 
(Vendedor)]])</f>
        <v>0.2</v>
      </c>
      <c r="M45" s="63">
        <f>TB_Vendas[[#This Row],[Preço Unitário]]*TB_Vendas[[#This Row],[Qtd]]</f>
        <v>420</v>
      </c>
      <c r="N45" s="62" t="s">
        <v>129</v>
      </c>
    </row>
    <row r="46" spans="1:14">
      <c r="A46" s="9">
        <f>MONTH(TB_Vendas[[#This Row],[Data]])</f>
        <v>5</v>
      </c>
      <c r="B46" s="66" t="str">
        <f>PROPER(TEXT(DATE(,TB_Vendas[[#This Row],[Nº]],1),"Mmm"))</f>
        <v>Mai</v>
      </c>
      <c r="C46" s="67">
        <v>45056</v>
      </c>
      <c r="D46" s="66" t="s">
        <v>66</v>
      </c>
      <c r="E46" s="66" t="str">
        <f>_xlfn.XLOOKUP(TB_Vendas[[#This Row],[Código]],TB_Produtos[Código],TB_Produtos[Categoria])</f>
        <v>Vestuário</v>
      </c>
      <c r="F46" s="62">
        <v>1</v>
      </c>
      <c r="G46" s="68">
        <f>_xlfn.XLOOKUP(TB_Vendas[[#This Row],[Código]],TB_Produtos[Código],TB_Produtos[Preço Unitário])</f>
        <v>91.4</v>
      </c>
      <c r="H46" s="132">
        <f>_xlfn.XMATCH(TB_Vendas[[#This Row],[Categoria]],'Cadastros Auxiliares'!$B$8:$E$8,0)</f>
        <v>3</v>
      </c>
      <c r="I46" s="69">
        <f>VLOOKUP(TB_Vendas[[#This Row],[Qtd]],'Cadastros Auxiliares'!$B$8:$E$13,Vendas!H46,TRUE)</f>
        <v>0.1</v>
      </c>
      <c r="J46" s="69" cm="1">
        <f t="array" ref="J46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</v>
      </c>
      <c r="K46" s="69">
        <f>_xlfn.XLOOKUP(TB_Vendas[[#This Row],[Vendedor]],TB_Vendedor[Código],TB_Vendedor[Desc. Máximo])</f>
        <v>0.25</v>
      </c>
      <c r="L46" s="69">
        <f>IF(TB_Vendas[[#This Row],[Desconto 
(Diretão)]]&lt;=TB_Vendas[[#This Row],[Desconto 
(Vendedor)]],TB_Vendas[[#This Row],[Desconto 
(Diretão)]],TB_Vendas[[#This Row],[Desconto 
(Vendedor)]])</f>
        <v>0.1</v>
      </c>
      <c r="M46" s="63">
        <f>TB_Vendas[[#This Row],[Preço Unitário]]*TB_Vendas[[#This Row],[Qtd]]</f>
        <v>91.4</v>
      </c>
      <c r="N46" s="62" t="s">
        <v>127</v>
      </c>
    </row>
    <row r="47" spans="1:14">
      <c r="A47" s="9">
        <f>MONTH(TB_Vendas[[#This Row],[Data]])</f>
        <v>5</v>
      </c>
      <c r="B47" s="66" t="str">
        <f>PROPER(TEXT(DATE(,TB_Vendas[[#This Row],[Nº]],1),"Mmm"))</f>
        <v>Mai</v>
      </c>
      <c r="C47" s="67">
        <v>45057</v>
      </c>
      <c r="D47" s="66" t="s">
        <v>57</v>
      </c>
      <c r="E47" s="66" t="str">
        <f>_xlfn.XLOOKUP(TB_Vendas[[#This Row],[Código]],TB_Produtos[Código],TB_Produtos[Categoria])</f>
        <v>Acessórios</v>
      </c>
      <c r="F47" s="62">
        <v>2</v>
      </c>
      <c r="G47" s="68">
        <f>_xlfn.XLOOKUP(TB_Vendas[[#This Row],[Código]],TB_Produtos[Código],TB_Produtos[Preço Unitário])</f>
        <v>349.9</v>
      </c>
      <c r="H47" s="132">
        <f>_xlfn.XMATCH(TB_Vendas[[#This Row],[Categoria]],'Cadastros Auxiliares'!$B$8:$E$8,0)</f>
        <v>2</v>
      </c>
      <c r="I47" s="69">
        <f>VLOOKUP(TB_Vendas[[#This Row],[Qtd]],'Cadastros Auxiliares'!$B$8:$E$13,Vendas!H47,TRUE)</f>
        <v>0.05</v>
      </c>
      <c r="J47" s="69" cm="1">
        <f t="array" ref="J47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0.05</v>
      </c>
      <c r="K47" s="69">
        <f>_xlfn.XLOOKUP(TB_Vendas[[#This Row],[Vendedor]],TB_Vendedor[Código],TB_Vendedor[Desc. Máximo])</f>
        <v>0.2</v>
      </c>
      <c r="L47" s="69">
        <f>IF(TB_Vendas[[#This Row],[Desconto 
(Diretão)]]&lt;=TB_Vendas[[#This Row],[Desconto 
(Vendedor)]],TB_Vendas[[#This Row],[Desconto 
(Diretão)]],TB_Vendas[[#This Row],[Desconto 
(Vendedor)]])</f>
        <v>0.05</v>
      </c>
      <c r="M47" s="63">
        <f>TB_Vendas[[#This Row],[Preço Unitário]]*TB_Vendas[[#This Row],[Qtd]]</f>
        <v>699.8</v>
      </c>
      <c r="N47" s="62" t="s">
        <v>129</v>
      </c>
    </row>
    <row r="48" spans="1:14">
      <c r="A48" s="9">
        <f>MONTH(TB_Vendas[[#This Row],[Data]])</f>
        <v>5</v>
      </c>
      <c r="B48" s="66" t="str">
        <f>PROPER(TEXT(DATE(,TB_Vendas[[#This Row],[Nº]],1),"Mmm"))</f>
        <v>Mai</v>
      </c>
      <c r="C48" s="67">
        <v>45058</v>
      </c>
      <c r="D48" s="66" t="s">
        <v>32</v>
      </c>
      <c r="E48" s="66" t="str">
        <f>_xlfn.XLOOKUP(TB_Vendas[[#This Row],[Código]],TB_Produtos[Código],TB_Produtos[Categoria])</f>
        <v>Vestuário</v>
      </c>
      <c r="F48" s="62">
        <v>3</v>
      </c>
      <c r="G48" s="68">
        <f>_xlfn.XLOOKUP(TB_Vendas[[#This Row],[Código]],TB_Produtos[Código],TB_Produtos[Preço Unitário])</f>
        <v>65.900000000000006</v>
      </c>
      <c r="H48" s="132">
        <f>_xlfn.XMATCH(TB_Vendas[[#This Row],[Categoria]],'Cadastros Auxiliares'!$B$8:$E$8,0)</f>
        <v>3</v>
      </c>
      <c r="I48" s="69">
        <f>VLOOKUP(TB_Vendas[[#This Row],[Qtd]],'Cadastros Auxiliares'!$B$8:$E$13,Vendas!H48,TRUE)</f>
        <v>0.2</v>
      </c>
      <c r="J48" s="69" cm="1">
        <f t="array" ref="J48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0.2</v>
      </c>
      <c r="K48" s="69">
        <f>_xlfn.XLOOKUP(TB_Vendas[[#This Row],[Vendedor]],TB_Vendedor[Código],TB_Vendedor[Desc. Máximo])</f>
        <v>0.25</v>
      </c>
      <c r="L48" s="69">
        <f>IF(TB_Vendas[[#This Row],[Desconto 
(Diretão)]]&lt;=TB_Vendas[[#This Row],[Desconto 
(Vendedor)]],TB_Vendas[[#This Row],[Desconto 
(Diretão)]],TB_Vendas[[#This Row],[Desconto 
(Vendedor)]])</f>
        <v>0.2</v>
      </c>
      <c r="M48" s="63">
        <f>TB_Vendas[[#This Row],[Preço Unitário]]*TB_Vendas[[#This Row],[Qtd]]</f>
        <v>197.70000000000002</v>
      </c>
      <c r="N48" s="62" t="s">
        <v>127</v>
      </c>
    </row>
    <row r="49" spans="1:14">
      <c r="A49" s="9">
        <f>MONTH(TB_Vendas[[#This Row],[Data]])</f>
        <v>5</v>
      </c>
      <c r="B49" s="66" t="str">
        <f>PROPER(TEXT(DATE(,TB_Vendas[[#This Row],[Nº]],1),"Mmm"))</f>
        <v>Mai</v>
      </c>
      <c r="C49" s="67">
        <v>45061</v>
      </c>
      <c r="D49" s="66" t="s">
        <v>66</v>
      </c>
      <c r="E49" s="66" t="str">
        <f>_xlfn.XLOOKUP(TB_Vendas[[#This Row],[Código]],TB_Produtos[Código],TB_Produtos[Categoria])</f>
        <v>Vestuário</v>
      </c>
      <c r="F49" s="62">
        <v>2</v>
      </c>
      <c r="G49" s="68">
        <f>_xlfn.XLOOKUP(TB_Vendas[[#This Row],[Código]],TB_Produtos[Código],TB_Produtos[Preço Unitário])</f>
        <v>91.4</v>
      </c>
      <c r="H49" s="132">
        <f>_xlfn.XMATCH(TB_Vendas[[#This Row],[Categoria]],'Cadastros Auxiliares'!$B$8:$E$8,0)</f>
        <v>3</v>
      </c>
      <c r="I49" s="69">
        <f>VLOOKUP(TB_Vendas[[#This Row],[Qtd]],'Cadastros Auxiliares'!$B$8:$E$13,Vendas!H49,TRUE)</f>
        <v>0.15</v>
      </c>
      <c r="J49" s="69" cm="1">
        <f t="array" ref="J49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0.15</v>
      </c>
      <c r="K49" s="69">
        <f>_xlfn.XLOOKUP(TB_Vendas[[#This Row],[Vendedor]],TB_Vendedor[Código],TB_Vendedor[Desc. Máximo])</f>
        <v>0.2</v>
      </c>
      <c r="L49" s="69">
        <f>IF(TB_Vendas[[#This Row],[Desconto 
(Diretão)]]&lt;=TB_Vendas[[#This Row],[Desconto 
(Vendedor)]],TB_Vendas[[#This Row],[Desconto 
(Diretão)]],TB_Vendas[[#This Row],[Desconto 
(Vendedor)]])</f>
        <v>0.15</v>
      </c>
      <c r="M49" s="63">
        <f>TB_Vendas[[#This Row],[Preço Unitário]]*TB_Vendas[[#This Row],[Qtd]]</f>
        <v>182.8</v>
      </c>
      <c r="N49" s="62" t="s">
        <v>126</v>
      </c>
    </row>
    <row r="50" spans="1:14">
      <c r="A50" s="9">
        <f>MONTH(TB_Vendas[[#This Row],[Data]])</f>
        <v>5</v>
      </c>
      <c r="B50" s="66" t="str">
        <f>PROPER(TEXT(DATE(,TB_Vendas[[#This Row],[Nº]],1),"Mmm"))</f>
        <v>Mai</v>
      </c>
      <c r="C50" s="67">
        <v>45064</v>
      </c>
      <c r="D50" s="66" t="s">
        <v>36</v>
      </c>
      <c r="E50" s="66" t="str">
        <f>_xlfn.XLOOKUP(TB_Vendas[[#This Row],[Código]],TB_Produtos[Código],TB_Produtos[Categoria])</f>
        <v>Acessórios</v>
      </c>
      <c r="F50" s="62">
        <v>4</v>
      </c>
      <c r="G50" s="68">
        <f>_xlfn.XLOOKUP(TB_Vendas[[#This Row],[Código]],TB_Produtos[Código],TB_Produtos[Preço Unitário])</f>
        <v>259.89999999999998</v>
      </c>
      <c r="H50" s="132">
        <f>_xlfn.XMATCH(TB_Vendas[[#This Row],[Categoria]],'Cadastros Auxiliares'!$B$8:$E$8,0)</f>
        <v>2</v>
      </c>
      <c r="I50" s="69">
        <f>VLOOKUP(TB_Vendas[[#This Row],[Qtd]],'Cadastros Auxiliares'!$B$8:$E$13,Vendas!H50,TRUE)</f>
        <v>0.15</v>
      </c>
      <c r="J50" s="69" cm="1">
        <f t="array" ref="J50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0.15</v>
      </c>
      <c r="K50" s="69">
        <f>_xlfn.XLOOKUP(TB_Vendas[[#This Row],[Vendedor]],TB_Vendedor[Código],TB_Vendedor[Desc. Máximo])</f>
        <v>0.25</v>
      </c>
      <c r="L50" s="69">
        <f>IF(TB_Vendas[[#This Row],[Desconto 
(Diretão)]]&lt;=TB_Vendas[[#This Row],[Desconto 
(Vendedor)]],TB_Vendas[[#This Row],[Desconto 
(Diretão)]],TB_Vendas[[#This Row],[Desconto 
(Vendedor)]])</f>
        <v>0.15</v>
      </c>
      <c r="M50" s="63">
        <f>TB_Vendas[[#This Row],[Preço Unitário]]*TB_Vendas[[#This Row],[Qtd]]</f>
        <v>1039.5999999999999</v>
      </c>
      <c r="N50" s="62" t="s">
        <v>127</v>
      </c>
    </row>
    <row r="51" spans="1:14">
      <c r="A51" s="9">
        <f>MONTH(TB_Vendas[[#This Row],[Data]])</f>
        <v>6</v>
      </c>
      <c r="B51" s="66" t="str">
        <f>PROPER(TEXT(DATE(,TB_Vendas[[#This Row],[Nº]],1),"Mmm"))</f>
        <v>Jun</v>
      </c>
      <c r="C51" s="67">
        <v>45084</v>
      </c>
      <c r="D51" s="66" t="s">
        <v>35</v>
      </c>
      <c r="E51" s="66" t="str">
        <f>_xlfn.XLOOKUP(TB_Vendas[[#This Row],[Código]],TB_Produtos[Código],TB_Produtos[Categoria])</f>
        <v>Acessórios</v>
      </c>
      <c r="F51" s="62">
        <v>3</v>
      </c>
      <c r="G51" s="68">
        <f>_xlfn.XLOOKUP(TB_Vendas[[#This Row],[Código]],TB_Produtos[Código],TB_Produtos[Preço Unitário])</f>
        <v>145</v>
      </c>
      <c r="H51" s="132">
        <f>_xlfn.XMATCH(TB_Vendas[[#This Row],[Categoria]],'Cadastros Auxiliares'!$B$8:$E$8,0)</f>
        <v>2</v>
      </c>
      <c r="I51" s="69">
        <f>VLOOKUP(TB_Vendas[[#This Row],[Qtd]],'Cadastros Auxiliares'!$B$8:$E$13,Vendas!H51,TRUE)</f>
        <v>0.15</v>
      </c>
      <c r="J51" s="69" cm="1">
        <f t="array" ref="J51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0.15</v>
      </c>
      <c r="K51" s="69">
        <f>_xlfn.XLOOKUP(TB_Vendas[[#This Row],[Vendedor]],TB_Vendedor[Código],TB_Vendedor[Desc. Máximo])</f>
        <v>0.2</v>
      </c>
      <c r="L51" s="69">
        <f>IF(TB_Vendas[[#This Row],[Desconto 
(Diretão)]]&lt;=TB_Vendas[[#This Row],[Desconto 
(Vendedor)]],TB_Vendas[[#This Row],[Desconto 
(Diretão)]],TB_Vendas[[#This Row],[Desconto 
(Vendedor)]])</f>
        <v>0.15</v>
      </c>
      <c r="M51" s="63">
        <f>TB_Vendas[[#This Row],[Preço Unitário]]*TB_Vendas[[#This Row],[Qtd]]</f>
        <v>435</v>
      </c>
      <c r="N51" s="62" t="s">
        <v>126</v>
      </c>
    </row>
    <row r="52" spans="1:14">
      <c r="A52" s="9">
        <f>MONTH(TB_Vendas[[#This Row],[Data]])</f>
        <v>6</v>
      </c>
      <c r="B52" s="66" t="str">
        <f>PROPER(TEXT(DATE(,TB_Vendas[[#This Row],[Nº]],1),"Mmm"))</f>
        <v>Jun</v>
      </c>
      <c r="C52" s="67">
        <v>45084</v>
      </c>
      <c r="D52" s="66" t="s">
        <v>69</v>
      </c>
      <c r="E52" s="66" t="str">
        <f>_xlfn.XLOOKUP(TB_Vendas[[#This Row],[Código]],TB_Produtos[Código],TB_Produtos[Categoria])</f>
        <v>Vestuário</v>
      </c>
      <c r="F52" s="62">
        <v>2</v>
      </c>
      <c r="G52" s="68">
        <f>_xlfn.XLOOKUP(TB_Vendas[[#This Row],[Código]],TB_Produtos[Código],TB_Produtos[Preço Unitário])</f>
        <v>142.9</v>
      </c>
      <c r="H52" s="132">
        <f>_xlfn.XMATCH(TB_Vendas[[#This Row],[Categoria]],'Cadastros Auxiliares'!$B$8:$E$8,0)</f>
        <v>3</v>
      </c>
      <c r="I52" s="69">
        <f>VLOOKUP(TB_Vendas[[#This Row],[Qtd]],'Cadastros Auxiliares'!$B$8:$E$13,Vendas!H52,TRUE)</f>
        <v>0.15</v>
      </c>
      <c r="J52" s="69" cm="1">
        <f t="array" ref="J52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0.15</v>
      </c>
      <c r="K52" s="69">
        <f>_xlfn.XLOOKUP(TB_Vendas[[#This Row],[Vendedor]],TB_Vendedor[Código],TB_Vendedor[Desc. Máximo])</f>
        <v>0.1</v>
      </c>
      <c r="L52" s="69">
        <f>IF(TB_Vendas[[#This Row],[Desconto 
(Diretão)]]&lt;=TB_Vendas[[#This Row],[Desconto 
(Vendedor)]],TB_Vendas[[#This Row],[Desconto 
(Diretão)]],TB_Vendas[[#This Row],[Desconto 
(Vendedor)]])</f>
        <v>0.1</v>
      </c>
      <c r="M52" s="63">
        <f>TB_Vendas[[#This Row],[Preço Unitário]]*TB_Vendas[[#This Row],[Qtd]]</f>
        <v>285.8</v>
      </c>
      <c r="N52" s="62" t="s">
        <v>128</v>
      </c>
    </row>
    <row r="53" spans="1:14">
      <c r="A53" s="9">
        <f>MONTH(TB_Vendas[[#This Row],[Data]])</f>
        <v>6</v>
      </c>
      <c r="B53" s="66" t="str">
        <f>PROPER(TEXT(DATE(,TB_Vendas[[#This Row],[Nº]],1),"Mmm"))</f>
        <v>Jun</v>
      </c>
      <c r="C53" s="67">
        <v>45086</v>
      </c>
      <c r="D53" s="66" t="s">
        <v>122</v>
      </c>
      <c r="E53" s="66" t="str">
        <f>_xlfn.XLOOKUP(TB_Vendas[[#This Row],[Código]],TB_Produtos[Código],TB_Produtos[Categoria])</f>
        <v>Vestuário</v>
      </c>
      <c r="F53" s="62">
        <v>2</v>
      </c>
      <c r="G53" s="68">
        <f>_xlfn.XLOOKUP(TB_Vendas[[#This Row],[Código]],TB_Produtos[Código],TB_Produtos[Preço Unitário])</f>
        <v>180</v>
      </c>
      <c r="H53" s="132">
        <f>_xlfn.XMATCH(TB_Vendas[[#This Row],[Categoria]],'Cadastros Auxiliares'!$B$8:$E$8,0)</f>
        <v>3</v>
      </c>
      <c r="I53" s="69">
        <f>VLOOKUP(TB_Vendas[[#This Row],[Qtd]],'Cadastros Auxiliares'!$B$8:$E$13,Vendas!H53,TRUE)</f>
        <v>0.15</v>
      </c>
      <c r="J53" s="69" cm="1">
        <f t="array" ref="J53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0.15</v>
      </c>
      <c r="K53" s="69">
        <f>_xlfn.XLOOKUP(TB_Vendas[[#This Row],[Vendedor]],TB_Vendedor[Código],TB_Vendedor[Desc. Máximo])</f>
        <v>0.2</v>
      </c>
      <c r="L53" s="69">
        <f>IF(TB_Vendas[[#This Row],[Desconto 
(Diretão)]]&lt;=TB_Vendas[[#This Row],[Desconto 
(Vendedor)]],TB_Vendas[[#This Row],[Desconto 
(Diretão)]],TB_Vendas[[#This Row],[Desconto 
(Vendedor)]])</f>
        <v>0.15</v>
      </c>
      <c r="M53" s="63">
        <f>TB_Vendas[[#This Row],[Preço Unitário]]*TB_Vendas[[#This Row],[Qtd]]</f>
        <v>360</v>
      </c>
      <c r="N53" s="62" t="s">
        <v>126</v>
      </c>
    </row>
    <row r="54" spans="1:14">
      <c r="A54" s="9">
        <f>MONTH(TB_Vendas[[#This Row],[Data]])</f>
        <v>6</v>
      </c>
      <c r="B54" s="66" t="str">
        <f>PROPER(TEXT(DATE(,TB_Vendas[[#This Row],[Nº]],1),"Mmm"))</f>
        <v>Jun</v>
      </c>
      <c r="C54" s="67">
        <v>45086</v>
      </c>
      <c r="D54" s="66" t="s">
        <v>46</v>
      </c>
      <c r="E54" s="66" t="str">
        <f>_xlfn.XLOOKUP(TB_Vendas[[#This Row],[Código]],TB_Produtos[Código],TB_Produtos[Categoria])</f>
        <v>Vestuário</v>
      </c>
      <c r="F54" s="62">
        <v>2</v>
      </c>
      <c r="G54" s="68">
        <f>_xlfn.XLOOKUP(TB_Vendas[[#This Row],[Código]],TB_Produtos[Código],TB_Produtos[Preço Unitário])</f>
        <v>42.5</v>
      </c>
      <c r="H54" s="132">
        <f>_xlfn.XMATCH(TB_Vendas[[#This Row],[Categoria]],'Cadastros Auxiliares'!$B$8:$E$8,0)</f>
        <v>3</v>
      </c>
      <c r="I54" s="69">
        <f>VLOOKUP(TB_Vendas[[#This Row],[Qtd]],'Cadastros Auxiliares'!$B$8:$E$13,Vendas!H54,TRUE)</f>
        <v>0.15</v>
      </c>
      <c r="J54" s="69" cm="1">
        <f t="array" ref="J54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0.15</v>
      </c>
      <c r="K54" s="69">
        <f>_xlfn.XLOOKUP(TB_Vendas[[#This Row],[Vendedor]],TB_Vendedor[Código],TB_Vendedor[Desc. Máximo])</f>
        <v>0.1</v>
      </c>
      <c r="L54" s="69">
        <f>IF(TB_Vendas[[#This Row],[Desconto 
(Diretão)]]&lt;=TB_Vendas[[#This Row],[Desconto 
(Vendedor)]],TB_Vendas[[#This Row],[Desconto 
(Diretão)]],TB_Vendas[[#This Row],[Desconto 
(Vendedor)]])</f>
        <v>0.1</v>
      </c>
      <c r="M54" s="63">
        <f>TB_Vendas[[#This Row],[Preço Unitário]]*TB_Vendas[[#This Row],[Qtd]]</f>
        <v>85</v>
      </c>
      <c r="N54" s="62" t="s">
        <v>128</v>
      </c>
    </row>
    <row r="55" spans="1:14">
      <c r="A55" s="9">
        <f>MONTH(TB_Vendas[[#This Row],[Data]])</f>
        <v>6</v>
      </c>
      <c r="B55" s="66" t="str">
        <f>PROPER(TEXT(DATE(,TB_Vendas[[#This Row],[Nº]],1),"Mmm"))</f>
        <v>Jun</v>
      </c>
      <c r="C55" s="67">
        <v>45088</v>
      </c>
      <c r="D55" s="66" t="s">
        <v>32</v>
      </c>
      <c r="E55" s="66" t="str">
        <f>_xlfn.XLOOKUP(TB_Vendas[[#This Row],[Código]],TB_Produtos[Código],TB_Produtos[Categoria])</f>
        <v>Vestuário</v>
      </c>
      <c r="F55" s="62">
        <v>1</v>
      </c>
      <c r="G55" s="68">
        <f>_xlfn.XLOOKUP(TB_Vendas[[#This Row],[Código]],TB_Produtos[Código],TB_Produtos[Preço Unitário])</f>
        <v>65.900000000000006</v>
      </c>
      <c r="H55" s="132">
        <f>_xlfn.XMATCH(TB_Vendas[[#This Row],[Categoria]],'Cadastros Auxiliares'!$B$8:$E$8,0)</f>
        <v>3</v>
      </c>
      <c r="I55" s="69">
        <f>VLOOKUP(TB_Vendas[[#This Row],[Qtd]],'Cadastros Auxiliares'!$B$8:$E$13,Vendas!H55,TRUE)</f>
        <v>0.1</v>
      </c>
      <c r="J55" s="69" cm="1">
        <f t="array" ref="J55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</v>
      </c>
      <c r="K55" s="69">
        <f>_xlfn.XLOOKUP(TB_Vendas[[#This Row],[Vendedor]],TB_Vendedor[Código],TB_Vendedor[Desc. Máximo])</f>
        <v>0.25</v>
      </c>
      <c r="L55" s="69">
        <f>IF(TB_Vendas[[#This Row],[Desconto 
(Diretão)]]&lt;=TB_Vendas[[#This Row],[Desconto 
(Vendedor)]],TB_Vendas[[#This Row],[Desconto 
(Diretão)]],TB_Vendas[[#This Row],[Desconto 
(Vendedor)]])</f>
        <v>0.1</v>
      </c>
      <c r="M55" s="63">
        <f>TB_Vendas[[#This Row],[Preço Unitário]]*TB_Vendas[[#This Row],[Qtd]]</f>
        <v>65.900000000000006</v>
      </c>
      <c r="N55" s="62" t="s">
        <v>127</v>
      </c>
    </row>
    <row r="56" spans="1:14">
      <c r="A56" s="9">
        <f>MONTH(TB_Vendas[[#This Row],[Data]])</f>
        <v>6</v>
      </c>
      <c r="B56" s="66" t="str">
        <f>PROPER(TEXT(DATE(,TB_Vendas[[#This Row],[Nº]],1),"Mmm"))</f>
        <v>Jun</v>
      </c>
      <c r="C56" s="67">
        <v>45090</v>
      </c>
      <c r="D56" s="66" t="s">
        <v>119</v>
      </c>
      <c r="E56" s="66" t="str">
        <f>_xlfn.XLOOKUP(TB_Vendas[[#This Row],[Código]],TB_Produtos[Código],TB_Produtos[Categoria])</f>
        <v>Vestuário</v>
      </c>
      <c r="F56" s="62">
        <v>1</v>
      </c>
      <c r="G56" s="68">
        <f>_xlfn.XLOOKUP(TB_Vendas[[#This Row],[Código]],TB_Produtos[Código],TB_Produtos[Preço Unitário])</f>
        <v>180</v>
      </c>
      <c r="H56" s="132">
        <f>_xlfn.XMATCH(TB_Vendas[[#This Row],[Categoria]],'Cadastros Auxiliares'!$B$8:$E$8,0)</f>
        <v>3</v>
      </c>
      <c r="I56" s="69">
        <f>VLOOKUP(TB_Vendas[[#This Row],[Qtd]],'Cadastros Auxiliares'!$B$8:$E$13,Vendas!H56,TRUE)</f>
        <v>0.1</v>
      </c>
      <c r="J56" s="69" cm="1">
        <f t="array" ref="J56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</v>
      </c>
      <c r="K56" s="69">
        <f>_xlfn.XLOOKUP(TB_Vendas[[#This Row],[Vendedor]],TB_Vendedor[Código],TB_Vendedor[Desc. Máximo])</f>
        <v>0.1</v>
      </c>
      <c r="L56" s="69">
        <f>IF(TB_Vendas[[#This Row],[Desconto 
(Diretão)]]&lt;=TB_Vendas[[#This Row],[Desconto 
(Vendedor)]],TB_Vendas[[#This Row],[Desconto 
(Diretão)]],TB_Vendas[[#This Row],[Desconto 
(Vendedor)]])</f>
        <v>0.1</v>
      </c>
      <c r="M56" s="63">
        <f>TB_Vendas[[#This Row],[Preço Unitário]]*TB_Vendas[[#This Row],[Qtd]]</f>
        <v>180</v>
      </c>
      <c r="N56" s="62" t="s">
        <v>128</v>
      </c>
    </row>
    <row r="57" spans="1:14">
      <c r="A57" s="9">
        <f>MONTH(TB_Vendas[[#This Row],[Data]])</f>
        <v>6</v>
      </c>
      <c r="B57" s="66" t="str">
        <f>PROPER(TEXT(DATE(,TB_Vendas[[#This Row],[Nº]],1),"Mmm"))</f>
        <v>Jun</v>
      </c>
      <c r="C57" s="67">
        <v>45093</v>
      </c>
      <c r="D57" s="66" t="s">
        <v>109</v>
      </c>
      <c r="E57" s="66" t="str">
        <f>_xlfn.XLOOKUP(TB_Vendas[[#This Row],[Código]],TB_Produtos[Código],TB_Produtos[Categoria])</f>
        <v>Vestuário</v>
      </c>
      <c r="F57" s="62">
        <v>3</v>
      </c>
      <c r="G57" s="68">
        <f>_xlfn.XLOOKUP(TB_Vendas[[#This Row],[Código]],TB_Produtos[Código],TB_Produtos[Preço Unitário])</f>
        <v>32.9</v>
      </c>
      <c r="H57" s="132">
        <f>_xlfn.XMATCH(TB_Vendas[[#This Row],[Categoria]],'Cadastros Auxiliares'!$B$8:$E$8,0)</f>
        <v>3</v>
      </c>
      <c r="I57" s="69">
        <f>VLOOKUP(TB_Vendas[[#This Row],[Qtd]],'Cadastros Auxiliares'!$B$8:$E$13,Vendas!H57,TRUE)</f>
        <v>0.2</v>
      </c>
      <c r="J57" s="69" cm="1">
        <f t="array" ref="J57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0.2</v>
      </c>
      <c r="K57" s="69">
        <f>_xlfn.XLOOKUP(TB_Vendas[[#This Row],[Vendedor]],TB_Vendedor[Código],TB_Vendedor[Desc. Máximo])</f>
        <v>0.25</v>
      </c>
      <c r="L57" s="69">
        <f>IF(TB_Vendas[[#This Row],[Desconto 
(Diretão)]]&lt;=TB_Vendas[[#This Row],[Desconto 
(Vendedor)]],TB_Vendas[[#This Row],[Desconto 
(Diretão)]],TB_Vendas[[#This Row],[Desconto 
(Vendedor)]])</f>
        <v>0.2</v>
      </c>
      <c r="M57" s="63">
        <f>TB_Vendas[[#This Row],[Preço Unitário]]*TB_Vendas[[#This Row],[Qtd]]</f>
        <v>98.699999999999989</v>
      </c>
      <c r="N57" s="62" t="s">
        <v>127</v>
      </c>
    </row>
    <row r="58" spans="1:14">
      <c r="A58" s="9">
        <f>MONTH(TB_Vendas[[#This Row],[Data]])</f>
        <v>6</v>
      </c>
      <c r="B58" s="66" t="str">
        <f>PROPER(TEXT(DATE(,TB_Vendas[[#This Row],[Nº]],1),"Mmm"))</f>
        <v>Jun</v>
      </c>
      <c r="C58" s="67">
        <v>45093</v>
      </c>
      <c r="D58" s="66" t="s">
        <v>40</v>
      </c>
      <c r="E58" s="66" t="str">
        <f>_xlfn.XLOOKUP(TB_Vendas[[#This Row],[Código]],TB_Produtos[Código],TB_Produtos[Categoria])</f>
        <v>Vestuário</v>
      </c>
      <c r="F58" s="62">
        <v>4</v>
      </c>
      <c r="G58" s="68">
        <f>_xlfn.XLOOKUP(TB_Vendas[[#This Row],[Código]],TB_Produtos[Código],TB_Produtos[Preço Unitário])</f>
        <v>92.9</v>
      </c>
      <c r="H58" s="132">
        <f>_xlfn.XMATCH(TB_Vendas[[#This Row],[Categoria]],'Cadastros Auxiliares'!$B$8:$E$8,0)</f>
        <v>3</v>
      </c>
      <c r="I58" s="69">
        <f>VLOOKUP(TB_Vendas[[#This Row],[Qtd]],'Cadastros Auxiliares'!$B$8:$E$13,Vendas!H58,TRUE)</f>
        <v>0.2</v>
      </c>
      <c r="J58" s="69" cm="1">
        <f t="array" ref="J58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0.2</v>
      </c>
      <c r="K58" s="69">
        <f>_xlfn.XLOOKUP(TB_Vendas[[#This Row],[Vendedor]],TB_Vendedor[Código],TB_Vendedor[Desc. Máximo])</f>
        <v>0.2</v>
      </c>
      <c r="L58" s="69">
        <f>IF(TB_Vendas[[#This Row],[Desconto 
(Diretão)]]&lt;=TB_Vendas[[#This Row],[Desconto 
(Vendedor)]],TB_Vendas[[#This Row],[Desconto 
(Diretão)]],TB_Vendas[[#This Row],[Desconto 
(Vendedor)]])</f>
        <v>0.2</v>
      </c>
      <c r="M58" s="63">
        <f>TB_Vendas[[#This Row],[Preço Unitário]]*TB_Vendas[[#This Row],[Qtd]]</f>
        <v>371.6</v>
      </c>
      <c r="N58" s="62" t="s">
        <v>126</v>
      </c>
    </row>
    <row r="59" spans="1:14">
      <c r="A59" s="9">
        <f>MONTH(TB_Vendas[[#This Row],[Data]])</f>
        <v>6</v>
      </c>
      <c r="B59" s="66" t="str">
        <f>PROPER(TEXT(DATE(,TB_Vendas[[#This Row],[Nº]],1),"Mmm"))</f>
        <v>Jun</v>
      </c>
      <c r="C59" s="67">
        <v>45094</v>
      </c>
      <c r="D59" s="66" t="s">
        <v>64</v>
      </c>
      <c r="E59" s="66" t="str">
        <f>_xlfn.XLOOKUP(TB_Vendas[[#This Row],[Código]],TB_Produtos[Código],TB_Produtos[Categoria])</f>
        <v>Calçado</v>
      </c>
      <c r="F59" s="62">
        <v>2</v>
      </c>
      <c r="G59" s="68">
        <f>_xlfn.XLOOKUP(TB_Vendas[[#This Row],[Código]],TB_Produtos[Código],TB_Produtos[Preço Unitário])</f>
        <v>259.89999999999998</v>
      </c>
      <c r="H59" s="132">
        <f>_xlfn.XMATCH(TB_Vendas[[#This Row],[Categoria]],'Cadastros Auxiliares'!$B$8:$E$8,0)</f>
        <v>4</v>
      </c>
      <c r="I59" s="69">
        <f>VLOOKUP(TB_Vendas[[#This Row],[Qtd]],'Cadastros Auxiliares'!$B$8:$E$13,Vendas!H59,TRUE)</f>
        <v>0.1</v>
      </c>
      <c r="J59" s="69" cm="1">
        <f t="array" ref="J59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</v>
      </c>
      <c r="K59" s="69">
        <f>_xlfn.XLOOKUP(TB_Vendas[[#This Row],[Vendedor]],TB_Vendedor[Código],TB_Vendedor[Desc. Máximo])</f>
        <v>0.1</v>
      </c>
      <c r="L59" s="69">
        <f>IF(TB_Vendas[[#This Row],[Desconto 
(Diretão)]]&lt;=TB_Vendas[[#This Row],[Desconto 
(Vendedor)]],TB_Vendas[[#This Row],[Desconto 
(Diretão)]],TB_Vendas[[#This Row],[Desconto 
(Vendedor)]])</f>
        <v>0.1</v>
      </c>
      <c r="M59" s="63">
        <f>TB_Vendas[[#This Row],[Preço Unitário]]*TB_Vendas[[#This Row],[Qtd]]</f>
        <v>519.79999999999995</v>
      </c>
      <c r="N59" s="62" t="s">
        <v>128</v>
      </c>
    </row>
    <row r="60" spans="1:14">
      <c r="A60" s="9">
        <f>MONTH(TB_Vendas[[#This Row],[Data]])</f>
        <v>6</v>
      </c>
      <c r="B60" s="66" t="str">
        <f>PROPER(TEXT(DATE(,TB_Vendas[[#This Row],[Nº]],1),"Mmm"))</f>
        <v>Jun</v>
      </c>
      <c r="C60" s="67">
        <v>45097</v>
      </c>
      <c r="D60" s="66" t="s">
        <v>55</v>
      </c>
      <c r="E60" s="66" t="str">
        <f>_xlfn.XLOOKUP(TB_Vendas[[#This Row],[Código]],TB_Produtos[Código],TB_Produtos[Categoria])</f>
        <v>Vestuário</v>
      </c>
      <c r="F60" s="62">
        <v>1</v>
      </c>
      <c r="G60" s="68">
        <f>_xlfn.XLOOKUP(TB_Vendas[[#This Row],[Código]],TB_Produtos[Código],TB_Produtos[Preço Unitário])</f>
        <v>259.89999999999998</v>
      </c>
      <c r="H60" s="132">
        <f>_xlfn.XMATCH(TB_Vendas[[#This Row],[Categoria]],'Cadastros Auxiliares'!$B$8:$E$8,0)</f>
        <v>3</v>
      </c>
      <c r="I60" s="69">
        <f>VLOOKUP(TB_Vendas[[#This Row],[Qtd]],'Cadastros Auxiliares'!$B$8:$E$13,Vendas!H60,TRUE)</f>
        <v>0.1</v>
      </c>
      <c r="J60" s="69" cm="1">
        <f t="array" ref="J60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</v>
      </c>
      <c r="K60" s="69">
        <f>_xlfn.XLOOKUP(TB_Vendas[[#This Row],[Vendedor]],TB_Vendedor[Código],TB_Vendedor[Desc. Máximo])</f>
        <v>0.15</v>
      </c>
      <c r="L60" s="69">
        <f>IF(TB_Vendas[[#This Row],[Desconto 
(Diretão)]]&lt;=TB_Vendas[[#This Row],[Desconto 
(Vendedor)]],TB_Vendas[[#This Row],[Desconto 
(Diretão)]],TB_Vendas[[#This Row],[Desconto 
(Vendedor)]])</f>
        <v>0.1</v>
      </c>
      <c r="M60" s="63">
        <f>TB_Vendas[[#This Row],[Preço Unitário]]*TB_Vendas[[#This Row],[Qtd]]</f>
        <v>259.89999999999998</v>
      </c>
      <c r="N60" s="62" t="s">
        <v>130</v>
      </c>
    </row>
    <row r="61" spans="1:14">
      <c r="A61" s="9">
        <f>MONTH(TB_Vendas[[#This Row],[Data]])</f>
        <v>6</v>
      </c>
      <c r="B61" s="66" t="str">
        <f>PROPER(TEXT(DATE(,TB_Vendas[[#This Row],[Nº]],1),"Mmm"))</f>
        <v>Jun</v>
      </c>
      <c r="C61" s="67">
        <v>45105</v>
      </c>
      <c r="D61" s="66" t="s">
        <v>46</v>
      </c>
      <c r="E61" s="66" t="str">
        <f>_xlfn.XLOOKUP(TB_Vendas[[#This Row],[Código]],TB_Produtos[Código],TB_Produtos[Categoria])</f>
        <v>Vestuário</v>
      </c>
      <c r="F61" s="62">
        <v>5</v>
      </c>
      <c r="G61" s="68">
        <f>_xlfn.XLOOKUP(TB_Vendas[[#This Row],[Código]],TB_Produtos[Código],TB_Produtos[Preço Unitário])</f>
        <v>42.5</v>
      </c>
      <c r="H61" s="132">
        <f>_xlfn.XMATCH(TB_Vendas[[#This Row],[Categoria]],'Cadastros Auxiliares'!$B$8:$E$8,0)</f>
        <v>3</v>
      </c>
      <c r="I61" s="69">
        <f>VLOOKUP(TB_Vendas[[#This Row],[Qtd]],'Cadastros Auxiliares'!$B$8:$E$13,Vendas!H61,TRUE)</f>
        <v>0.25</v>
      </c>
      <c r="J61" s="69" cm="1">
        <f t="array" ref="J61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0.25</v>
      </c>
      <c r="K61" s="69">
        <f>_xlfn.XLOOKUP(TB_Vendas[[#This Row],[Vendedor]],TB_Vendedor[Código],TB_Vendedor[Desc. Máximo])</f>
        <v>0.15</v>
      </c>
      <c r="L61" s="69">
        <f>IF(TB_Vendas[[#This Row],[Desconto 
(Diretão)]]&lt;=TB_Vendas[[#This Row],[Desconto 
(Vendedor)]],TB_Vendas[[#This Row],[Desconto 
(Diretão)]],TB_Vendas[[#This Row],[Desconto 
(Vendedor)]])</f>
        <v>0.15</v>
      </c>
      <c r="M61" s="63">
        <f>TB_Vendas[[#This Row],[Preço Unitário]]*TB_Vendas[[#This Row],[Qtd]]</f>
        <v>212.5</v>
      </c>
      <c r="N61" s="62" t="s">
        <v>130</v>
      </c>
    </row>
    <row r="62" spans="1:14">
      <c r="A62" s="9">
        <f>MONTH(TB_Vendas[[#This Row],[Data]])</f>
        <v>6</v>
      </c>
      <c r="B62" s="66" t="str">
        <f>PROPER(TEXT(DATE(,TB_Vendas[[#This Row],[Nº]],1),"Mmm"))</f>
        <v>Jun</v>
      </c>
      <c r="C62" s="67">
        <v>45105</v>
      </c>
      <c r="D62" s="66" t="s">
        <v>109</v>
      </c>
      <c r="E62" s="66" t="str">
        <f>_xlfn.XLOOKUP(TB_Vendas[[#This Row],[Código]],TB_Produtos[Código],TB_Produtos[Categoria])</f>
        <v>Vestuário</v>
      </c>
      <c r="F62" s="62">
        <v>2</v>
      </c>
      <c r="G62" s="68">
        <f>_xlfn.XLOOKUP(TB_Vendas[[#This Row],[Código]],TB_Produtos[Código],TB_Produtos[Preço Unitário])</f>
        <v>32.9</v>
      </c>
      <c r="H62" s="132">
        <f>_xlfn.XMATCH(TB_Vendas[[#This Row],[Categoria]],'Cadastros Auxiliares'!$B$8:$E$8,0)</f>
        <v>3</v>
      </c>
      <c r="I62" s="69">
        <f>VLOOKUP(TB_Vendas[[#This Row],[Qtd]],'Cadastros Auxiliares'!$B$8:$E$13,Vendas!H62,TRUE)</f>
        <v>0.15</v>
      </c>
      <c r="J62" s="69" cm="1">
        <f t="array" ref="J62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0.15</v>
      </c>
      <c r="K62" s="69">
        <f>_xlfn.XLOOKUP(TB_Vendas[[#This Row],[Vendedor]],TB_Vendedor[Código],TB_Vendedor[Desc. Máximo])</f>
        <v>0.15</v>
      </c>
      <c r="L62" s="69">
        <f>IF(TB_Vendas[[#This Row],[Desconto 
(Diretão)]]&lt;=TB_Vendas[[#This Row],[Desconto 
(Vendedor)]],TB_Vendas[[#This Row],[Desconto 
(Diretão)]],TB_Vendas[[#This Row],[Desconto 
(Vendedor)]])</f>
        <v>0.15</v>
      </c>
      <c r="M62" s="63">
        <f>TB_Vendas[[#This Row],[Preço Unitário]]*TB_Vendas[[#This Row],[Qtd]]</f>
        <v>65.8</v>
      </c>
      <c r="N62" s="62" t="s">
        <v>130</v>
      </c>
    </row>
    <row r="63" spans="1:14">
      <c r="A63" s="9">
        <f>MONTH(TB_Vendas[[#This Row],[Data]])</f>
        <v>6</v>
      </c>
      <c r="B63" s="66" t="str">
        <f>PROPER(TEXT(DATE(,TB_Vendas[[#This Row],[Nº]],1),"Mmm"))</f>
        <v>Jun</v>
      </c>
      <c r="C63" s="67">
        <v>45106</v>
      </c>
      <c r="D63" s="66" t="s">
        <v>40</v>
      </c>
      <c r="E63" s="66" t="str">
        <f>_xlfn.XLOOKUP(TB_Vendas[[#This Row],[Código]],TB_Produtos[Código],TB_Produtos[Categoria])</f>
        <v>Vestuário</v>
      </c>
      <c r="F63" s="62">
        <v>3</v>
      </c>
      <c r="G63" s="68">
        <f>_xlfn.XLOOKUP(TB_Vendas[[#This Row],[Código]],TB_Produtos[Código],TB_Produtos[Preço Unitário])</f>
        <v>92.9</v>
      </c>
      <c r="H63" s="132">
        <f>_xlfn.XMATCH(TB_Vendas[[#This Row],[Categoria]],'Cadastros Auxiliares'!$B$8:$E$8,0)</f>
        <v>3</v>
      </c>
      <c r="I63" s="69">
        <f>VLOOKUP(TB_Vendas[[#This Row],[Qtd]],'Cadastros Auxiliares'!$B$8:$E$13,Vendas!H63,TRUE)</f>
        <v>0.2</v>
      </c>
      <c r="J63" s="69" cm="1">
        <f t="array" ref="J63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0.2</v>
      </c>
      <c r="K63" s="69">
        <f>_xlfn.XLOOKUP(TB_Vendas[[#This Row],[Vendedor]],TB_Vendedor[Código],TB_Vendedor[Desc. Máximo])</f>
        <v>0.2</v>
      </c>
      <c r="L63" s="69">
        <f>IF(TB_Vendas[[#This Row],[Desconto 
(Diretão)]]&lt;=TB_Vendas[[#This Row],[Desconto 
(Vendedor)]],TB_Vendas[[#This Row],[Desconto 
(Diretão)]],TB_Vendas[[#This Row],[Desconto 
(Vendedor)]])</f>
        <v>0.2</v>
      </c>
      <c r="M63" s="63">
        <f>TB_Vendas[[#This Row],[Preço Unitário]]*TB_Vendas[[#This Row],[Qtd]]</f>
        <v>278.70000000000005</v>
      </c>
      <c r="N63" s="62" t="s">
        <v>126</v>
      </c>
    </row>
    <row r="64" spans="1:14">
      <c r="A64" s="1">
        <f>MONTH(TB_Vendas[[#This Row],[Data]])</f>
        <v>6</v>
      </c>
      <c r="B64" s="66" t="str">
        <f>PROPER(TEXT(DATE(,TB_Vendas[[#This Row],[Nº]],1),"Mmm"))</f>
        <v>Jun</v>
      </c>
      <c r="C64" s="67">
        <v>45107</v>
      </c>
      <c r="D64" s="66" t="s">
        <v>47</v>
      </c>
      <c r="E64" s="66" t="str">
        <f>_xlfn.XLOOKUP(TB_Vendas[[#This Row],[Código]],TB_Produtos[Código],TB_Produtos[Categoria])</f>
        <v>Vestuário</v>
      </c>
      <c r="F64" s="62">
        <v>10</v>
      </c>
      <c r="G64" s="68">
        <f>_xlfn.XLOOKUP(TB_Vendas[[#This Row],[Código]],TB_Produtos[Código],TB_Produtos[Preço Unitário])</f>
        <v>25.9</v>
      </c>
      <c r="H64" s="132">
        <f>_xlfn.XMATCH(TB_Vendas[[#This Row],[Categoria]],'Cadastros Auxiliares'!$B$8:$E$8,0)</f>
        <v>3</v>
      </c>
      <c r="I64" s="69">
        <f>VLOOKUP(TB_Vendas[[#This Row],[Qtd]],'Cadastros Auxiliares'!$B$8:$E$13,Vendas!H64,TRUE)</f>
        <v>0.3</v>
      </c>
      <c r="J64" s="69" cm="1">
        <f t="array" ref="J64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0.3</v>
      </c>
      <c r="K64" s="69">
        <f>_xlfn.XLOOKUP(TB_Vendas[[#This Row],[Vendedor]],TB_Vendedor[Código],TB_Vendedor[Desc. Máximo])</f>
        <v>0.2</v>
      </c>
      <c r="L64" s="69">
        <f>IF(TB_Vendas[[#This Row],[Desconto 
(Diretão)]]&lt;=TB_Vendas[[#This Row],[Desconto 
(Vendedor)]],TB_Vendas[[#This Row],[Desconto 
(Diretão)]],TB_Vendas[[#This Row],[Desconto 
(Vendedor)]])</f>
        <v>0.2</v>
      </c>
      <c r="M64" s="63">
        <f>TB_Vendas[[#This Row],[Preço Unitário]]*TB_Vendas[[#This Row],[Qtd]]</f>
        <v>259</v>
      </c>
      <c r="N64" s="62" t="s">
        <v>126</v>
      </c>
    </row>
    <row r="65" spans="1:14">
      <c r="A65" s="1">
        <f>MONTH(TB_Vendas[[#This Row],[Data]])</f>
        <v>7</v>
      </c>
      <c r="B65" s="66" t="str">
        <f>PROPER(TEXT(DATE(,TB_Vendas[[#This Row],[Nº]],1),"Mmm"))</f>
        <v>Jul</v>
      </c>
      <c r="C65" s="67">
        <v>45112</v>
      </c>
      <c r="D65" s="66" t="s">
        <v>101</v>
      </c>
      <c r="E65" s="66" t="str">
        <f>_xlfn.XLOOKUP(TB_Vendas[[#This Row],[Código]],TB_Produtos[Código],TB_Produtos[Categoria])</f>
        <v>Vestuário</v>
      </c>
      <c r="F65" s="62">
        <v>1</v>
      </c>
      <c r="G65" s="68">
        <f>_xlfn.XLOOKUP(TB_Vendas[[#This Row],[Código]],TB_Produtos[Código],TB_Produtos[Preço Unitário])</f>
        <v>72.5</v>
      </c>
      <c r="H65" s="132">
        <f>_xlfn.XMATCH(TB_Vendas[[#This Row],[Categoria]],'Cadastros Auxiliares'!$B$8:$E$8,0)</f>
        <v>3</v>
      </c>
      <c r="I65" s="69">
        <f>VLOOKUP(TB_Vendas[[#This Row],[Qtd]],'Cadastros Auxiliares'!$B$8:$E$13,Vendas!H65,TRUE)</f>
        <v>0.1</v>
      </c>
      <c r="J65" s="69" cm="1">
        <f t="array" ref="J65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</v>
      </c>
      <c r="K65" s="69">
        <f>_xlfn.XLOOKUP(TB_Vendas[[#This Row],[Vendedor]],TB_Vendedor[Código],TB_Vendedor[Desc. Máximo])</f>
        <v>0.25</v>
      </c>
      <c r="L65" s="69">
        <f>IF(TB_Vendas[[#This Row],[Desconto 
(Diretão)]]&lt;=TB_Vendas[[#This Row],[Desconto 
(Vendedor)]],TB_Vendas[[#This Row],[Desconto 
(Diretão)]],TB_Vendas[[#This Row],[Desconto 
(Vendedor)]])</f>
        <v>0.1</v>
      </c>
      <c r="M65" s="63">
        <f>TB_Vendas[[#This Row],[Preço Unitário]]*TB_Vendas[[#This Row],[Qtd]]</f>
        <v>72.5</v>
      </c>
      <c r="N65" s="62" t="s">
        <v>127</v>
      </c>
    </row>
    <row r="66" spans="1:14">
      <c r="A66" s="1">
        <f>MONTH(TB_Vendas[[#This Row],[Data]])</f>
        <v>7</v>
      </c>
      <c r="B66" s="66" t="str">
        <f>PROPER(TEXT(DATE(,TB_Vendas[[#This Row],[Nº]],1),"Mmm"))</f>
        <v>Jul</v>
      </c>
      <c r="C66" s="67">
        <v>45113</v>
      </c>
      <c r="D66" s="66" t="s">
        <v>52</v>
      </c>
      <c r="E66" s="66" t="str">
        <f>_xlfn.XLOOKUP(TB_Vendas[[#This Row],[Código]],TB_Produtos[Código],TB_Produtos[Categoria])</f>
        <v>Vestuário</v>
      </c>
      <c r="F66" s="62">
        <v>4</v>
      </c>
      <c r="G66" s="68">
        <f>_xlfn.XLOOKUP(TB_Vendas[[#This Row],[Código]],TB_Produtos[Código],TB_Produtos[Preço Unitário])</f>
        <v>302.89999999999998</v>
      </c>
      <c r="H66" s="132">
        <f>_xlfn.XMATCH(TB_Vendas[[#This Row],[Categoria]],'Cadastros Auxiliares'!$B$8:$E$8,0)</f>
        <v>3</v>
      </c>
      <c r="I66" s="69">
        <f>VLOOKUP(TB_Vendas[[#This Row],[Qtd]],'Cadastros Auxiliares'!$B$8:$E$13,Vendas!H66,TRUE)</f>
        <v>0.2</v>
      </c>
      <c r="J66" s="69" cm="1">
        <f t="array" ref="J66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0.2</v>
      </c>
      <c r="K66" s="69">
        <f>_xlfn.XLOOKUP(TB_Vendas[[#This Row],[Vendedor]],TB_Vendedor[Código],TB_Vendedor[Desc. Máximo])</f>
        <v>0.15</v>
      </c>
      <c r="L66" s="69">
        <f>IF(TB_Vendas[[#This Row],[Desconto 
(Diretão)]]&lt;=TB_Vendas[[#This Row],[Desconto 
(Vendedor)]],TB_Vendas[[#This Row],[Desconto 
(Diretão)]],TB_Vendas[[#This Row],[Desconto 
(Vendedor)]])</f>
        <v>0.15</v>
      </c>
      <c r="M66" s="63">
        <f>TB_Vendas[[#This Row],[Preço Unitário]]*TB_Vendas[[#This Row],[Qtd]]</f>
        <v>1211.5999999999999</v>
      </c>
      <c r="N66" s="62" t="s">
        <v>130</v>
      </c>
    </row>
    <row r="67" spans="1:14">
      <c r="A67" s="1">
        <f>MONTH(TB_Vendas[[#This Row],[Data]])</f>
        <v>7</v>
      </c>
      <c r="B67" s="66" t="str">
        <f>PROPER(TEXT(DATE(,TB_Vendas[[#This Row],[Nº]],1),"Mmm"))</f>
        <v>Jul</v>
      </c>
      <c r="C67" s="67">
        <v>45114</v>
      </c>
      <c r="D67" s="66" t="s">
        <v>106</v>
      </c>
      <c r="E67" s="66" t="str">
        <f>_xlfn.XLOOKUP(TB_Vendas[[#This Row],[Código]],TB_Produtos[Código],TB_Produtos[Categoria])</f>
        <v>Vestuário</v>
      </c>
      <c r="F67" s="62">
        <v>8</v>
      </c>
      <c r="G67" s="68">
        <f>_xlfn.XLOOKUP(TB_Vendas[[#This Row],[Código]],TB_Produtos[Código],TB_Produtos[Preço Unitário])</f>
        <v>289.89999999999998</v>
      </c>
      <c r="H67" s="132">
        <f>_xlfn.XMATCH(TB_Vendas[[#This Row],[Categoria]],'Cadastros Auxiliares'!$B$8:$E$8,0)</f>
        <v>3</v>
      </c>
      <c r="I67" s="69">
        <f>VLOOKUP(TB_Vendas[[#This Row],[Qtd]],'Cadastros Auxiliares'!$B$8:$E$13,Vendas!H67,TRUE)</f>
        <v>0.25</v>
      </c>
      <c r="J67" s="69" cm="1">
        <f t="array" ref="J67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0.25</v>
      </c>
      <c r="K67" s="69">
        <f>_xlfn.XLOOKUP(TB_Vendas[[#This Row],[Vendedor]],TB_Vendedor[Código],TB_Vendedor[Desc. Máximo])</f>
        <v>0.2</v>
      </c>
      <c r="L67" s="69">
        <f>IF(TB_Vendas[[#This Row],[Desconto 
(Diretão)]]&lt;=TB_Vendas[[#This Row],[Desconto 
(Vendedor)]],TB_Vendas[[#This Row],[Desconto 
(Diretão)]],TB_Vendas[[#This Row],[Desconto 
(Vendedor)]])</f>
        <v>0.2</v>
      </c>
      <c r="M67" s="63">
        <f>TB_Vendas[[#This Row],[Preço Unitário]]*TB_Vendas[[#This Row],[Qtd]]</f>
        <v>2319.1999999999998</v>
      </c>
      <c r="N67" s="62" t="s">
        <v>126</v>
      </c>
    </row>
    <row r="68" spans="1:14">
      <c r="A68" s="1">
        <f>MONTH(TB_Vendas[[#This Row],[Data]])</f>
        <v>7</v>
      </c>
      <c r="B68" s="66" t="str">
        <f>PROPER(TEXT(DATE(,TB_Vendas[[#This Row],[Nº]],1),"Mmm"))</f>
        <v>Jul</v>
      </c>
      <c r="C68" s="67">
        <v>45119</v>
      </c>
      <c r="D68" s="66" t="s">
        <v>97</v>
      </c>
      <c r="E68" s="66" t="str">
        <f>_xlfn.XLOOKUP(TB_Vendas[[#This Row],[Código]],TB_Produtos[Código],TB_Produtos[Categoria])</f>
        <v>Vestuário</v>
      </c>
      <c r="F68" s="62">
        <v>2</v>
      </c>
      <c r="G68" s="68">
        <f>_xlfn.XLOOKUP(TB_Vendas[[#This Row],[Código]],TB_Produtos[Código],TB_Produtos[Preço Unitário])</f>
        <v>54.9</v>
      </c>
      <c r="H68" s="132">
        <f>_xlfn.XMATCH(TB_Vendas[[#This Row],[Categoria]],'Cadastros Auxiliares'!$B$8:$E$8,0)</f>
        <v>3</v>
      </c>
      <c r="I68" s="69">
        <f>VLOOKUP(TB_Vendas[[#This Row],[Qtd]],'Cadastros Auxiliares'!$B$8:$E$13,Vendas!H68,TRUE)</f>
        <v>0.15</v>
      </c>
      <c r="J68" s="69" cm="1">
        <f t="array" ref="J68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0.15</v>
      </c>
      <c r="K68" s="69">
        <f>_xlfn.XLOOKUP(TB_Vendas[[#This Row],[Vendedor]],TB_Vendedor[Código],TB_Vendedor[Desc. Máximo])</f>
        <v>0.2</v>
      </c>
      <c r="L68" s="69">
        <f>IF(TB_Vendas[[#This Row],[Desconto 
(Diretão)]]&lt;=TB_Vendas[[#This Row],[Desconto 
(Vendedor)]],TB_Vendas[[#This Row],[Desconto 
(Diretão)]],TB_Vendas[[#This Row],[Desconto 
(Vendedor)]])</f>
        <v>0.15</v>
      </c>
      <c r="M68" s="63">
        <f>TB_Vendas[[#This Row],[Preço Unitário]]*TB_Vendas[[#This Row],[Qtd]]</f>
        <v>109.8</v>
      </c>
      <c r="N68" s="62" t="s">
        <v>126</v>
      </c>
    </row>
    <row r="69" spans="1:14">
      <c r="A69" s="1">
        <f>MONTH(TB_Vendas[[#This Row],[Data]])</f>
        <v>7</v>
      </c>
      <c r="B69" s="66" t="str">
        <f>PROPER(TEXT(DATE(,TB_Vendas[[#This Row],[Nº]],1),"Mmm"))</f>
        <v>Jul</v>
      </c>
      <c r="C69" s="67">
        <v>45120</v>
      </c>
      <c r="D69" s="66" t="s">
        <v>45</v>
      </c>
      <c r="E69" s="66" t="str">
        <f>_xlfn.XLOOKUP(TB_Vendas[[#This Row],[Código]],TB_Produtos[Código],TB_Produtos[Categoria])</f>
        <v>Vestuário</v>
      </c>
      <c r="F69" s="62">
        <v>2</v>
      </c>
      <c r="G69" s="68">
        <f>_xlfn.XLOOKUP(TB_Vendas[[#This Row],[Código]],TB_Produtos[Código],TB_Produtos[Preço Unitário])</f>
        <v>39.9</v>
      </c>
      <c r="H69" s="132">
        <f>_xlfn.XMATCH(TB_Vendas[[#This Row],[Categoria]],'Cadastros Auxiliares'!$B$8:$E$8,0)</f>
        <v>3</v>
      </c>
      <c r="I69" s="69">
        <f>VLOOKUP(TB_Vendas[[#This Row],[Qtd]],'Cadastros Auxiliares'!$B$8:$E$13,Vendas!H69,TRUE)</f>
        <v>0.15</v>
      </c>
      <c r="J69" s="69" cm="1">
        <f t="array" ref="J69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0.15</v>
      </c>
      <c r="K69" s="69">
        <f>_xlfn.XLOOKUP(TB_Vendas[[#This Row],[Vendedor]],TB_Vendedor[Código],TB_Vendedor[Desc. Máximo])</f>
        <v>0.15</v>
      </c>
      <c r="L69" s="69">
        <f>IF(TB_Vendas[[#This Row],[Desconto 
(Diretão)]]&lt;=TB_Vendas[[#This Row],[Desconto 
(Vendedor)]],TB_Vendas[[#This Row],[Desconto 
(Diretão)]],TB_Vendas[[#This Row],[Desconto 
(Vendedor)]])</f>
        <v>0.15</v>
      </c>
      <c r="M69" s="63">
        <f>TB_Vendas[[#This Row],[Preço Unitário]]*TB_Vendas[[#This Row],[Qtd]]</f>
        <v>79.8</v>
      </c>
      <c r="N69" s="62" t="s">
        <v>130</v>
      </c>
    </row>
    <row r="70" spans="1:14">
      <c r="A70" s="1">
        <f>MONTH(TB_Vendas[[#This Row],[Data]])</f>
        <v>7</v>
      </c>
      <c r="B70" s="66" t="str">
        <f>PROPER(TEXT(DATE(,TB_Vendas[[#This Row],[Nº]],1),"Mmm"))</f>
        <v>Jul</v>
      </c>
      <c r="C70" s="67">
        <v>45124</v>
      </c>
      <c r="D70" s="66" t="s">
        <v>98</v>
      </c>
      <c r="E70" s="66" t="str">
        <f>_xlfn.XLOOKUP(TB_Vendas[[#This Row],[Código]],TB_Produtos[Código],TB_Produtos[Categoria])</f>
        <v>Vestuário</v>
      </c>
      <c r="F70" s="62">
        <v>7</v>
      </c>
      <c r="G70" s="68">
        <f>_xlfn.XLOOKUP(TB_Vendas[[#This Row],[Código]],TB_Produtos[Código],TB_Produtos[Preço Unitário])</f>
        <v>54.9</v>
      </c>
      <c r="H70" s="132">
        <f>_xlfn.XMATCH(TB_Vendas[[#This Row],[Categoria]],'Cadastros Auxiliares'!$B$8:$E$8,0)</f>
        <v>3</v>
      </c>
      <c r="I70" s="69">
        <f>VLOOKUP(TB_Vendas[[#This Row],[Qtd]],'Cadastros Auxiliares'!$B$8:$E$13,Vendas!H70,TRUE)</f>
        <v>0.25</v>
      </c>
      <c r="J70" s="69" cm="1">
        <f t="array" ref="J70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0.25</v>
      </c>
      <c r="K70" s="69">
        <f>_xlfn.XLOOKUP(TB_Vendas[[#This Row],[Vendedor]],TB_Vendedor[Código],TB_Vendedor[Desc. Máximo])</f>
        <v>0.2</v>
      </c>
      <c r="L70" s="69">
        <f>IF(TB_Vendas[[#This Row],[Desconto 
(Diretão)]]&lt;=TB_Vendas[[#This Row],[Desconto 
(Vendedor)]],TB_Vendas[[#This Row],[Desconto 
(Diretão)]],TB_Vendas[[#This Row],[Desconto 
(Vendedor)]])</f>
        <v>0.2</v>
      </c>
      <c r="M70" s="63">
        <f>TB_Vendas[[#This Row],[Preço Unitário]]*TB_Vendas[[#This Row],[Qtd]]</f>
        <v>384.3</v>
      </c>
      <c r="N70" s="62" t="s">
        <v>129</v>
      </c>
    </row>
    <row r="71" spans="1:14">
      <c r="A71" s="1">
        <f>MONTH(TB_Vendas[[#This Row],[Data]])</f>
        <v>7</v>
      </c>
      <c r="B71" s="66" t="str">
        <f>PROPER(TEXT(DATE(,TB_Vendas[[#This Row],[Nº]],1),"Mmm"))</f>
        <v>Jul</v>
      </c>
      <c r="C71" s="67">
        <v>45130</v>
      </c>
      <c r="D71" s="66" t="s">
        <v>51</v>
      </c>
      <c r="E71" s="66" t="str">
        <f>_xlfn.XLOOKUP(TB_Vendas[[#This Row],[Código]],TB_Produtos[Código],TB_Produtos[Categoria])</f>
        <v>Vestuário</v>
      </c>
      <c r="F71" s="62">
        <v>4</v>
      </c>
      <c r="G71" s="68">
        <f>_xlfn.XLOOKUP(TB_Vendas[[#This Row],[Código]],TB_Produtos[Código],TB_Produtos[Preço Unitário])</f>
        <v>299.89999999999998</v>
      </c>
      <c r="H71" s="132">
        <f>_xlfn.XMATCH(TB_Vendas[[#This Row],[Categoria]],'Cadastros Auxiliares'!$B$8:$E$8,0)</f>
        <v>3</v>
      </c>
      <c r="I71" s="69">
        <f>VLOOKUP(TB_Vendas[[#This Row],[Qtd]],'Cadastros Auxiliares'!$B$8:$E$13,Vendas!H71,TRUE)</f>
        <v>0.2</v>
      </c>
      <c r="J71" s="69" cm="1">
        <f t="array" ref="J71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0.2</v>
      </c>
      <c r="K71" s="69">
        <f>_xlfn.XLOOKUP(TB_Vendas[[#This Row],[Vendedor]],TB_Vendedor[Código],TB_Vendedor[Desc. Máximo])</f>
        <v>0.15</v>
      </c>
      <c r="L71" s="69">
        <f>IF(TB_Vendas[[#This Row],[Desconto 
(Diretão)]]&lt;=TB_Vendas[[#This Row],[Desconto 
(Vendedor)]],TB_Vendas[[#This Row],[Desconto 
(Diretão)]],TB_Vendas[[#This Row],[Desconto 
(Vendedor)]])</f>
        <v>0.15</v>
      </c>
      <c r="M71" s="63">
        <f>TB_Vendas[[#This Row],[Preço Unitário]]*TB_Vendas[[#This Row],[Qtd]]</f>
        <v>1199.5999999999999</v>
      </c>
      <c r="N71" s="62" t="s">
        <v>130</v>
      </c>
    </row>
    <row r="72" spans="1:14">
      <c r="A72" s="1">
        <f>MONTH(TB_Vendas[[#This Row],[Data]])</f>
        <v>7</v>
      </c>
      <c r="B72" s="66" t="str">
        <f>PROPER(TEXT(DATE(,TB_Vendas[[#This Row],[Nº]],1),"Mmm"))</f>
        <v>Jul</v>
      </c>
      <c r="C72" s="67">
        <v>45133</v>
      </c>
      <c r="D72" s="66" t="s">
        <v>55</v>
      </c>
      <c r="E72" s="66" t="str">
        <f>_xlfn.XLOOKUP(TB_Vendas[[#This Row],[Código]],TB_Produtos[Código],TB_Produtos[Categoria])</f>
        <v>Vestuário</v>
      </c>
      <c r="F72" s="62">
        <v>3</v>
      </c>
      <c r="G72" s="68">
        <f>_xlfn.XLOOKUP(TB_Vendas[[#This Row],[Código]],TB_Produtos[Código],TB_Produtos[Preço Unitário])</f>
        <v>259.89999999999998</v>
      </c>
      <c r="H72" s="132">
        <f>_xlfn.XMATCH(TB_Vendas[[#This Row],[Categoria]],'Cadastros Auxiliares'!$B$8:$E$8,0)</f>
        <v>3</v>
      </c>
      <c r="I72" s="69">
        <f>VLOOKUP(TB_Vendas[[#This Row],[Qtd]],'Cadastros Auxiliares'!$B$8:$E$13,Vendas!H72,TRUE)</f>
        <v>0.2</v>
      </c>
      <c r="J72" s="69" cm="1">
        <f t="array" ref="J72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0.2</v>
      </c>
      <c r="K72" s="69">
        <f>_xlfn.XLOOKUP(TB_Vendas[[#This Row],[Vendedor]],TB_Vendedor[Código],TB_Vendedor[Desc. Máximo])</f>
        <v>0.2</v>
      </c>
      <c r="L72" s="69">
        <f>IF(TB_Vendas[[#This Row],[Desconto 
(Diretão)]]&lt;=TB_Vendas[[#This Row],[Desconto 
(Vendedor)]],TB_Vendas[[#This Row],[Desconto 
(Diretão)]],TB_Vendas[[#This Row],[Desconto 
(Vendedor)]])</f>
        <v>0.2</v>
      </c>
      <c r="M72" s="63">
        <f>TB_Vendas[[#This Row],[Preço Unitário]]*TB_Vendas[[#This Row],[Qtd]]</f>
        <v>779.69999999999993</v>
      </c>
      <c r="N72" s="62" t="s">
        <v>129</v>
      </c>
    </row>
    <row r="73" spans="1:14">
      <c r="A73" s="1">
        <f>MONTH(TB_Vendas[[#This Row],[Data]])</f>
        <v>7</v>
      </c>
      <c r="B73" s="66" t="str">
        <f>PROPER(TEXT(DATE(,TB_Vendas[[#This Row],[Nº]],1),"Mmm"))</f>
        <v>Jul</v>
      </c>
      <c r="C73" s="67">
        <v>45135</v>
      </c>
      <c r="D73" s="66" t="s">
        <v>101</v>
      </c>
      <c r="E73" s="66" t="str">
        <f>_xlfn.XLOOKUP(TB_Vendas[[#This Row],[Código]],TB_Produtos[Código],TB_Produtos[Categoria])</f>
        <v>Vestuário</v>
      </c>
      <c r="F73" s="62">
        <v>9</v>
      </c>
      <c r="G73" s="68">
        <f>_xlfn.XLOOKUP(TB_Vendas[[#This Row],[Código]],TB_Produtos[Código],TB_Produtos[Preço Unitário])</f>
        <v>72.5</v>
      </c>
      <c r="H73" s="132">
        <f>_xlfn.XMATCH(TB_Vendas[[#This Row],[Categoria]],'Cadastros Auxiliares'!$B$8:$E$8,0)</f>
        <v>3</v>
      </c>
      <c r="I73" s="69">
        <f>VLOOKUP(TB_Vendas[[#This Row],[Qtd]],'Cadastros Auxiliares'!$B$8:$E$13,Vendas!H73,TRUE)</f>
        <v>0.25</v>
      </c>
      <c r="J73" s="69" cm="1">
        <f t="array" ref="J73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0.25</v>
      </c>
      <c r="K73" s="69">
        <f>_xlfn.XLOOKUP(TB_Vendas[[#This Row],[Vendedor]],TB_Vendedor[Código],TB_Vendedor[Desc. Máximo])</f>
        <v>0.1</v>
      </c>
      <c r="L73" s="69">
        <f>IF(TB_Vendas[[#This Row],[Desconto 
(Diretão)]]&lt;=TB_Vendas[[#This Row],[Desconto 
(Vendedor)]],TB_Vendas[[#This Row],[Desconto 
(Diretão)]],TB_Vendas[[#This Row],[Desconto 
(Vendedor)]])</f>
        <v>0.1</v>
      </c>
      <c r="M73" s="63">
        <f>TB_Vendas[[#This Row],[Preço Unitário]]*TB_Vendas[[#This Row],[Qtd]]</f>
        <v>652.5</v>
      </c>
      <c r="N73" s="62" t="s">
        <v>128</v>
      </c>
    </row>
    <row r="74" spans="1:14">
      <c r="A74" s="1">
        <f>MONTH(TB_Vendas[[#This Row],[Data]])</f>
        <v>7</v>
      </c>
      <c r="B74" s="66" t="str">
        <f>PROPER(TEXT(DATE(,TB_Vendas[[#This Row],[Nº]],1),"Mmm"))</f>
        <v>Jul</v>
      </c>
      <c r="C74" s="67">
        <v>45136</v>
      </c>
      <c r="D74" s="66" t="s">
        <v>53</v>
      </c>
      <c r="E74" s="66" t="str">
        <f>_xlfn.XLOOKUP(TB_Vendas[[#This Row],[Código]],TB_Produtos[Código],TB_Produtos[Categoria])</f>
        <v>Vestuário</v>
      </c>
      <c r="F74" s="62">
        <v>4</v>
      </c>
      <c r="G74" s="68">
        <f>_xlfn.XLOOKUP(TB_Vendas[[#This Row],[Código]],TB_Produtos[Código],TB_Produtos[Preço Unitário])</f>
        <v>300</v>
      </c>
      <c r="H74" s="132">
        <f>_xlfn.XMATCH(TB_Vendas[[#This Row],[Categoria]],'Cadastros Auxiliares'!$B$8:$E$8,0)</f>
        <v>3</v>
      </c>
      <c r="I74" s="69">
        <f>VLOOKUP(TB_Vendas[[#This Row],[Qtd]],'Cadastros Auxiliares'!$B$8:$E$13,Vendas!H74,TRUE)</f>
        <v>0.2</v>
      </c>
      <c r="J74" s="69" cm="1">
        <f t="array" ref="J74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0.2</v>
      </c>
      <c r="K74" s="69">
        <f>_xlfn.XLOOKUP(TB_Vendas[[#This Row],[Vendedor]],TB_Vendedor[Código],TB_Vendedor[Desc. Máximo])</f>
        <v>0.15</v>
      </c>
      <c r="L74" s="69">
        <f>IF(TB_Vendas[[#This Row],[Desconto 
(Diretão)]]&lt;=TB_Vendas[[#This Row],[Desconto 
(Vendedor)]],TB_Vendas[[#This Row],[Desconto 
(Diretão)]],TB_Vendas[[#This Row],[Desconto 
(Vendedor)]])</f>
        <v>0.15</v>
      </c>
      <c r="M74" s="63">
        <f>TB_Vendas[[#This Row],[Preço Unitário]]*TB_Vendas[[#This Row],[Qtd]]</f>
        <v>1200</v>
      </c>
      <c r="N74" s="62" t="s">
        <v>130</v>
      </c>
    </row>
    <row r="75" spans="1:14">
      <c r="A75" s="1">
        <f>MONTH(TB_Vendas[[#This Row],[Data]])</f>
        <v>7</v>
      </c>
      <c r="B75" s="66" t="str">
        <f>PROPER(TEXT(DATE(,TB_Vendas[[#This Row],[Nº]],1),"Mmm"))</f>
        <v>Jul</v>
      </c>
      <c r="C75" s="67">
        <v>45137</v>
      </c>
      <c r="D75" s="66" t="s">
        <v>32</v>
      </c>
      <c r="E75" s="66" t="str">
        <f>_xlfn.XLOOKUP(TB_Vendas[[#This Row],[Código]],TB_Produtos[Código],TB_Produtos[Categoria])</f>
        <v>Vestuário</v>
      </c>
      <c r="F75" s="62">
        <v>9</v>
      </c>
      <c r="G75" s="68">
        <f>_xlfn.XLOOKUP(TB_Vendas[[#This Row],[Código]],TB_Produtos[Código],TB_Produtos[Preço Unitário])</f>
        <v>65.900000000000006</v>
      </c>
      <c r="H75" s="132">
        <f>_xlfn.XMATCH(TB_Vendas[[#This Row],[Categoria]],'Cadastros Auxiliares'!$B$8:$E$8,0)</f>
        <v>3</v>
      </c>
      <c r="I75" s="69">
        <f>VLOOKUP(TB_Vendas[[#This Row],[Qtd]],'Cadastros Auxiliares'!$B$8:$E$13,Vendas!H75,TRUE)</f>
        <v>0.25</v>
      </c>
      <c r="J75" s="69" cm="1">
        <f t="array" ref="J75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0.25</v>
      </c>
      <c r="K75" s="69">
        <f>_xlfn.XLOOKUP(TB_Vendas[[#This Row],[Vendedor]],TB_Vendedor[Código],TB_Vendedor[Desc. Máximo])</f>
        <v>0.15</v>
      </c>
      <c r="L75" s="69">
        <f>IF(TB_Vendas[[#This Row],[Desconto 
(Diretão)]]&lt;=TB_Vendas[[#This Row],[Desconto 
(Vendedor)]],TB_Vendas[[#This Row],[Desconto 
(Diretão)]],TB_Vendas[[#This Row],[Desconto 
(Vendedor)]])</f>
        <v>0.15</v>
      </c>
      <c r="M75" s="63">
        <f>TB_Vendas[[#This Row],[Preço Unitário]]*TB_Vendas[[#This Row],[Qtd]]</f>
        <v>593.1</v>
      </c>
      <c r="N75" s="62" t="s">
        <v>130</v>
      </c>
    </row>
    <row r="76" spans="1:14">
      <c r="A76" s="1">
        <f>MONTH(TB_Vendas[[#This Row],[Data]])</f>
        <v>8</v>
      </c>
      <c r="B76" s="66" t="str">
        <f>PROPER(TEXT(DATE(,TB_Vendas[[#This Row],[Nº]],1),"Mmm"))</f>
        <v>Ago</v>
      </c>
      <c r="C76" s="67">
        <v>45143</v>
      </c>
      <c r="D76" s="66" t="s">
        <v>40</v>
      </c>
      <c r="E76" s="66" t="str">
        <f>_xlfn.XLOOKUP(TB_Vendas[[#This Row],[Código]],TB_Produtos[Código],TB_Produtos[Categoria])</f>
        <v>Vestuário</v>
      </c>
      <c r="F76" s="62">
        <v>10</v>
      </c>
      <c r="G76" s="68">
        <f>_xlfn.XLOOKUP(TB_Vendas[[#This Row],[Código]],TB_Produtos[Código],TB_Produtos[Preço Unitário])</f>
        <v>92.9</v>
      </c>
      <c r="H76" s="132">
        <f>_xlfn.XMATCH(TB_Vendas[[#This Row],[Categoria]],'Cadastros Auxiliares'!$B$8:$E$8,0)</f>
        <v>3</v>
      </c>
      <c r="I76" s="69">
        <f>VLOOKUP(TB_Vendas[[#This Row],[Qtd]],'Cadastros Auxiliares'!$B$8:$E$13,Vendas!H76,TRUE)</f>
        <v>0.3</v>
      </c>
      <c r="J76" s="69" cm="1">
        <f t="array" ref="J76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0.3</v>
      </c>
      <c r="K76" s="69">
        <f>_xlfn.XLOOKUP(TB_Vendas[[#This Row],[Vendedor]],TB_Vendedor[Código],TB_Vendedor[Desc. Máximo])</f>
        <v>0.15</v>
      </c>
      <c r="L76" s="69">
        <f>IF(TB_Vendas[[#This Row],[Desconto 
(Diretão)]]&lt;=TB_Vendas[[#This Row],[Desconto 
(Vendedor)]],TB_Vendas[[#This Row],[Desconto 
(Diretão)]],TB_Vendas[[#This Row],[Desconto 
(Vendedor)]])</f>
        <v>0.15</v>
      </c>
      <c r="M76" s="63">
        <f>TB_Vendas[[#This Row],[Preço Unitário]]*TB_Vendas[[#This Row],[Qtd]]</f>
        <v>929</v>
      </c>
      <c r="N76" s="62" t="s">
        <v>130</v>
      </c>
    </row>
    <row r="77" spans="1:14">
      <c r="A77" s="1">
        <f>MONTH(TB_Vendas[[#This Row],[Data]])</f>
        <v>8</v>
      </c>
      <c r="B77" s="66" t="str">
        <f>PROPER(TEXT(DATE(,TB_Vendas[[#This Row],[Nº]],1),"Mmm"))</f>
        <v>Ago</v>
      </c>
      <c r="C77" s="67">
        <v>45144</v>
      </c>
      <c r="D77" s="66" t="s">
        <v>118</v>
      </c>
      <c r="E77" s="66" t="str">
        <f>_xlfn.XLOOKUP(TB_Vendas[[#This Row],[Código]],TB_Produtos[Código],TB_Produtos[Categoria])</f>
        <v>Calçado</v>
      </c>
      <c r="F77" s="62">
        <v>1</v>
      </c>
      <c r="G77" s="68">
        <f>_xlfn.XLOOKUP(TB_Vendas[[#This Row],[Código]],TB_Produtos[Código],TB_Produtos[Preço Unitário])</f>
        <v>89.9</v>
      </c>
      <c r="H77" s="132">
        <f>_xlfn.XMATCH(TB_Vendas[[#This Row],[Categoria]],'Cadastros Auxiliares'!$B$8:$E$8,0)</f>
        <v>4</v>
      </c>
      <c r="I77" s="69">
        <f>VLOOKUP(TB_Vendas[[#This Row],[Qtd]],'Cadastros Auxiliares'!$B$8:$E$13,Vendas!H77,TRUE)</f>
        <v>0</v>
      </c>
      <c r="J77" s="69" cm="1">
        <f t="array" ref="J77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</v>
      </c>
      <c r="K77" s="69">
        <f>_xlfn.XLOOKUP(TB_Vendas[[#This Row],[Vendedor]],TB_Vendedor[Código],TB_Vendedor[Desc. Máximo])</f>
        <v>0.1</v>
      </c>
      <c r="L77" s="69">
        <f>IF(TB_Vendas[[#This Row],[Desconto 
(Diretão)]]&lt;=TB_Vendas[[#This Row],[Desconto 
(Vendedor)]],TB_Vendas[[#This Row],[Desconto 
(Diretão)]],TB_Vendas[[#This Row],[Desconto 
(Vendedor)]])</f>
        <v>0</v>
      </c>
      <c r="M77" s="63">
        <f>TB_Vendas[[#This Row],[Preço Unitário]]*TB_Vendas[[#This Row],[Qtd]]</f>
        <v>89.9</v>
      </c>
      <c r="N77" s="62" t="s">
        <v>128</v>
      </c>
    </row>
    <row r="78" spans="1:14">
      <c r="A78" s="1">
        <f>MONTH(TB_Vendas[[#This Row],[Data]])</f>
        <v>8</v>
      </c>
      <c r="B78" s="66" t="str">
        <f>PROPER(TEXT(DATE(,TB_Vendas[[#This Row],[Nº]],1),"Mmm"))</f>
        <v>Ago</v>
      </c>
      <c r="C78" s="67">
        <v>45145</v>
      </c>
      <c r="D78" s="66" t="s">
        <v>111</v>
      </c>
      <c r="E78" s="66" t="str">
        <f>_xlfn.XLOOKUP(TB_Vendas[[#This Row],[Código]],TB_Produtos[Código],TB_Produtos[Categoria])</f>
        <v>Vestuário</v>
      </c>
      <c r="F78" s="62">
        <v>2</v>
      </c>
      <c r="G78" s="68">
        <f>_xlfn.XLOOKUP(TB_Vendas[[#This Row],[Código]],TB_Produtos[Código],TB_Produtos[Preço Unitário])</f>
        <v>49.9</v>
      </c>
      <c r="H78" s="132">
        <f>_xlfn.XMATCH(TB_Vendas[[#This Row],[Categoria]],'Cadastros Auxiliares'!$B$8:$E$8,0)</f>
        <v>3</v>
      </c>
      <c r="I78" s="69">
        <f>VLOOKUP(TB_Vendas[[#This Row],[Qtd]],'Cadastros Auxiliares'!$B$8:$E$13,Vendas!H78,TRUE)</f>
        <v>0.15</v>
      </c>
      <c r="J78" s="69" cm="1">
        <f t="array" ref="J78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0.15</v>
      </c>
      <c r="K78" s="69">
        <f>_xlfn.XLOOKUP(TB_Vendas[[#This Row],[Vendedor]],TB_Vendedor[Código],TB_Vendedor[Desc. Máximo])</f>
        <v>0.1</v>
      </c>
      <c r="L78" s="69">
        <f>IF(TB_Vendas[[#This Row],[Desconto 
(Diretão)]]&lt;=TB_Vendas[[#This Row],[Desconto 
(Vendedor)]],TB_Vendas[[#This Row],[Desconto 
(Diretão)]],TB_Vendas[[#This Row],[Desconto 
(Vendedor)]])</f>
        <v>0.1</v>
      </c>
      <c r="M78" s="63">
        <f>TB_Vendas[[#This Row],[Preço Unitário]]*TB_Vendas[[#This Row],[Qtd]]</f>
        <v>99.8</v>
      </c>
      <c r="N78" s="62" t="s">
        <v>128</v>
      </c>
    </row>
    <row r="79" spans="1:14">
      <c r="A79" s="1">
        <f>MONTH(TB_Vendas[[#This Row],[Data]])</f>
        <v>8</v>
      </c>
      <c r="B79" s="66" t="str">
        <f>PROPER(TEXT(DATE(,TB_Vendas[[#This Row],[Nº]],1),"Mmm"))</f>
        <v>Ago</v>
      </c>
      <c r="C79" s="67">
        <v>45146</v>
      </c>
      <c r="D79" s="66" t="s">
        <v>96</v>
      </c>
      <c r="E79" s="66" t="str">
        <f>_xlfn.XLOOKUP(TB_Vendas[[#This Row],[Código]],TB_Produtos[Código],TB_Produtos[Categoria])</f>
        <v>Vestuário</v>
      </c>
      <c r="F79" s="62">
        <v>8</v>
      </c>
      <c r="G79" s="68">
        <f>_xlfn.XLOOKUP(TB_Vendas[[#This Row],[Código]],TB_Produtos[Código],TB_Produtos[Preço Unitário])</f>
        <v>70</v>
      </c>
      <c r="H79" s="132">
        <f>_xlfn.XMATCH(TB_Vendas[[#This Row],[Categoria]],'Cadastros Auxiliares'!$B$8:$E$8,0)</f>
        <v>3</v>
      </c>
      <c r="I79" s="69">
        <f>VLOOKUP(TB_Vendas[[#This Row],[Qtd]],'Cadastros Auxiliares'!$B$8:$E$13,Vendas!H79,TRUE)</f>
        <v>0.25</v>
      </c>
      <c r="J79" s="69" cm="1">
        <f t="array" ref="J79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0.25</v>
      </c>
      <c r="K79" s="69">
        <f>_xlfn.XLOOKUP(TB_Vendas[[#This Row],[Vendedor]],TB_Vendedor[Código],TB_Vendedor[Desc. Máximo])</f>
        <v>0.25</v>
      </c>
      <c r="L79" s="69">
        <f>IF(TB_Vendas[[#This Row],[Desconto 
(Diretão)]]&lt;=TB_Vendas[[#This Row],[Desconto 
(Vendedor)]],TB_Vendas[[#This Row],[Desconto 
(Diretão)]],TB_Vendas[[#This Row],[Desconto 
(Vendedor)]])</f>
        <v>0.25</v>
      </c>
      <c r="M79" s="63">
        <f>TB_Vendas[[#This Row],[Preço Unitário]]*TB_Vendas[[#This Row],[Qtd]]</f>
        <v>560</v>
      </c>
      <c r="N79" s="62" t="s">
        <v>127</v>
      </c>
    </row>
    <row r="80" spans="1:14">
      <c r="A80" s="1">
        <f>MONTH(TB_Vendas[[#This Row],[Data]])</f>
        <v>8</v>
      </c>
      <c r="B80" s="66" t="str">
        <f>PROPER(TEXT(DATE(,TB_Vendas[[#This Row],[Nº]],1),"Mmm"))</f>
        <v>Ago</v>
      </c>
      <c r="C80" s="67">
        <v>45147</v>
      </c>
      <c r="D80" s="66" t="s">
        <v>42</v>
      </c>
      <c r="E80" s="66" t="str">
        <f>_xlfn.XLOOKUP(TB_Vendas[[#This Row],[Código]],TB_Produtos[Código],TB_Produtos[Categoria])</f>
        <v>Vestuário</v>
      </c>
      <c r="F80" s="62">
        <v>5</v>
      </c>
      <c r="G80" s="68">
        <f>_xlfn.XLOOKUP(TB_Vendas[[#This Row],[Código]],TB_Produtos[Código],TB_Produtos[Preço Unitário])</f>
        <v>46.9</v>
      </c>
      <c r="H80" s="132">
        <f>_xlfn.XMATCH(TB_Vendas[[#This Row],[Categoria]],'Cadastros Auxiliares'!$B$8:$E$8,0)</f>
        <v>3</v>
      </c>
      <c r="I80" s="69">
        <f>VLOOKUP(TB_Vendas[[#This Row],[Qtd]],'Cadastros Auxiliares'!$B$8:$E$13,Vendas!H80,TRUE)</f>
        <v>0.25</v>
      </c>
      <c r="J80" s="69" cm="1">
        <f t="array" ref="J80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0.25</v>
      </c>
      <c r="K80" s="69">
        <f>_xlfn.XLOOKUP(TB_Vendas[[#This Row],[Vendedor]],TB_Vendedor[Código],TB_Vendedor[Desc. Máximo])</f>
        <v>0.1</v>
      </c>
      <c r="L80" s="69">
        <f>IF(TB_Vendas[[#This Row],[Desconto 
(Diretão)]]&lt;=TB_Vendas[[#This Row],[Desconto 
(Vendedor)]],TB_Vendas[[#This Row],[Desconto 
(Diretão)]],TB_Vendas[[#This Row],[Desconto 
(Vendedor)]])</f>
        <v>0.1</v>
      </c>
      <c r="M80" s="63">
        <f>TB_Vendas[[#This Row],[Preço Unitário]]*TB_Vendas[[#This Row],[Qtd]]</f>
        <v>234.5</v>
      </c>
      <c r="N80" s="62" t="s">
        <v>128</v>
      </c>
    </row>
    <row r="81" spans="1:14">
      <c r="A81" s="1">
        <f>MONTH(TB_Vendas[[#This Row],[Data]])</f>
        <v>8</v>
      </c>
      <c r="B81" s="66" t="str">
        <f>PROPER(TEXT(DATE(,TB_Vendas[[#This Row],[Nº]],1),"Mmm"))</f>
        <v>Ago</v>
      </c>
      <c r="C81" s="67">
        <v>45148</v>
      </c>
      <c r="D81" s="66" t="s">
        <v>105</v>
      </c>
      <c r="E81" s="66" t="str">
        <f>_xlfn.XLOOKUP(TB_Vendas[[#This Row],[Código]],TB_Produtos[Código],TB_Produtos[Categoria])</f>
        <v>Vestuário</v>
      </c>
      <c r="F81" s="62">
        <v>10</v>
      </c>
      <c r="G81" s="68">
        <f>_xlfn.XLOOKUP(TB_Vendas[[#This Row],[Código]],TB_Produtos[Código],TB_Produtos[Preço Unitário])</f>
        <v>289.89999999999998</v>
      </c>
      <c r="H81" s="132">
        <f>_xlfn.XMATCH(TB_Vendas[[#This Row],[Categoria]],'Cadastros Auxiliares'!$B$8:$E$8,0)</f>
        <v>3</v>
      </c>
      <c r="I81" s="69">
        <f>VLOOKUP(TB_Vendas[[#This Row],[Qtd]],'Cadastros Auxiliares'!$B$8:$E$13,Vendas!H81,TRUE)</f>
        <v>0.3</v>
      </c>
      <c r="J81" s="69" cm="1">
        <f t="array" ref="J81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0.3</v>
      </c>
      <c r="K81" s="69">
        <f>_xlfn.XLOOKUP(TB_Vendas[[#This Row],[Vendedor]],TB_Vendedor[Código],TB_Vendedor[Desc. Máximo])</f>
        <v>0.25</v>
      </c>
      <c r="L81" s="69">
        <f>IF(TB_Vendas[[#This Row],[Desconto 
(Diretão)]]&lt;=TB_Vendas[[#This Row],[Desconto 
(Vendedor)]],TB_Vendas[[#This Row],[Desconto 
(Diretão)]],TB_Vendas[[#This Row],[Desconto 
(Vendedor)]])</f>
        <v>0.25</v>
      </c>
      <c r="M81" s="63">
        <f>TB_Vendas[[#This Row],[Preço Unitário]]*TB_Vendas[[#This Row],[Qtd]]</f>
        <v>2899</v>
      </c>
      <c r="N81" s="62" t="s">
        <v>127</v>
      </c>
    </row>
    <row r="82" spans="1:14">
      <c r="A82" s="1">
        <f>MONTH(TB_Vendas[[#This Row],[Data]])</f>
        <v>8</v>
      </c>
      <c r="B82" s="66" t="str">
        <f>PROPER(TEXT(DATE(,TB_Vendas[[#This Row],[Nº]],1),"Mmm"))</f>
        <v>Ago</v>
      </c>
      <c r="C82" s="67">
        <v>45149</v>
      </c>
      <c r="D82" s="66" t="s">
        <v>46</v>
      </c>
      <c r="E82" s="66" t="str">
        <f>_xlfn.XLOOKUP(TB_Vendas[[#This Row],[Código]],TB_Produtos[Código],TB_Produtos[Categoria])</f>
        <v>Vestuário</v>
      </c>
      <c r="F82" s="62">
        <v>1</v>
      </c>
      <c r="G82" s="68">
        <f>_xlfn.XLOOKUP(TB_Vendas[[#This Row],[Código]],TB_Produtos[Código],TB_Produtos[Preço Unitário])</f>
        <v>42.5</v>
      </c>
      <c r="H82" s="132">
        <f>_xlfn.XMATCH(TB_Vendas[[#This Row],[Categoria]],'Cadastros Auxiliares'!$B$8:$E$8,0)</f>
        <v>3</v>
      </c>
      <c r="I82" s="69">
        <f>VLOOKUP(TB_Vendas[[#This Row],[Qtd]],'Cadastros Auxiliares'!$B$8:$E$13,Vendas!H82,TRUE)</f>
        <v>0.1</v>
      </c>
      <c r="J82" s="69" cm="1">
        <f t="array" ref="J82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</v>
      </c>
      <c r="K82" s="69">
        <f>_xlfn.XLOOKUP(TB_Vendas[[#This Row],[Vendedor]],TB_Vendedor[Código],TB_Vendedor[Desc. Máximo])</f>
        <v>0.1</v>
      </c>
      <c r="L82" s="69">
        <f>IF(TB_Vendas[[#This Row],[Desconto 
(Diretão)]]&lt;=TB_Vendas[[#This Row],[Desconto 
(Vendedor)]],TB_Vendas[[#This Row],[Desconto 
(Diretão)]],TB_Vendas[[#This Row],[Desconto 
(Vendedor)]])</f>
        <v>0.1</v>
      </c>
      <c r="M82" s="63">
        <f>TB_Vendas[[#This Row],[Preço Unitário]]*TB_Vendas[[#This Row],[Qtd]]</f>
        <v>42.5</v>
      </c>
      <c r="N82" s="62" t="s">
        <v>128</v>
      </c>
    </row>
    <row r="83" spans="1:14">
      <c r="A83" s="1">
        <f>MONTH(TB_Vendas[[#This Row],[Data]])</f>
        <v>8</v>
      </c>
      <c r="B83" s="66" t="str">
        <f>PROPER(TEXT(DATE(,TB_Vendas[[#This Row],[Nº]],1),"Mmm"))</f>
        <v>Ago</v>
      </c>
      <c r="C83" s="67">
        <v>45150</v>
      </c>
      <c r="D83" s="66" t="s">
        <v>115</v>
      </c>
      <c r="E83" s="66" t="str">
        <f>_xlfn.XLOOKUP(TB_Vendas[[#This Row],[Código]],TB_Produtos[Código],TB_Produtos[Categoria])</f>
        <v>Calçado</v>
      </c>
      <c r="F83" s="62">
        <v>2</v>
      </c>
      <c r="G83" s="68">
        <f>_xlfn.XLOOKUP(TB_Vendas[[#This Row],[Código]],TB_Produtos[Código],TB_Produtos[Preço Unitário])</f>
        <v>89.9</v>
      </c>
      <c r="H83" s="132">
        <f>_xlfn.XMATCH(TB_Vendas[[#This Row],[Categoria]],'Cadastros Auxiliares'!$B$8:$E$8,0)</f>
        <v>4</v>
      </c>
      <c r="I83" s="69">
        <f>VLOOKUP(TB_Vendas[[#This Row],[Qtd]],'Cadastros Auxiliares'!$B$8:$E$13,Vendas!H83,TRUE)</f>
        <v>0.1</v>
      </c>
      <c r="J83" s="69" cm="1">
        <f t="array" ref="J83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</v>
      </c>
      <c r="K83" s="69">
        <f>_xlfn.XLOOKUP(TB_Vendas[[#This Row],[Vendedor]],TB_Vendedor[Código],TB_Vendedor[Desc. Máximo])</f>
        <v>0.25</v>
      </c>
      <c r="L83" s="69">
        <f>IF(TB_Vendas[[#This Row],[Desconto 
(Diretão)]]&lt;=TB_Vendas[[#This Row],[Desconto 
(Vendedor)]],TB_Vendas[[#This Row],[Desconto 
(Diretão)]],TB_Vendas[[#This Row],[Desconto 
(Vendedor)]])</f>
        <v>0.1</v>
      </c>
      <c r="M83" s="63">
        <f>TB_Vendas[[#This Row],[Preço Unitário]]*TB_Vendas[[#This Row],[Qtd]]</f>
        <v>179.8</v>
      </c>
      <c r="N83" s="62" t="s">
        <v>127</v>
      </c>
    </row>
    <row r="84" spans="1:14">
      <c r="A84" s="1">
        <f>MONTH(TB_Vendas[[#This Row],[Data]])</f>
        <v>8</v>
      </c>
      <c r="B84" s="66" t="str">
        <f>PROPER(TEXT(DATE(,TB_Vendas[[#This Row],[Nº]],1),"Mmm"))</f>
        <v>Ago</v>
      </c>
      <c r="C84" s="67">
        <v>45151</v>
      </c>
      <c r="D84" s="66" t="s">
        <v>60</v>
      </c>
      <c r="E84" s="66" t="str">
        <f>_xlfn.XLOOKUP(TB_Vendas[[#This Row],[Código]],TB_Produtos[Código],TB_Produtos[Categoria])</f>
        <v>Calçado</v>
      </c>
      <c r="F84" s="62">
        <v>3</v>
      </c>
      <c r="G84" s="68">
        <f>_xlfn.XLOOKUP(TB_Vendas[[#This Row],[Código]],TB_Produtos[Código],TB_Produtos[Preço Unitário])</f>
        <v>255</v>
      </c>
      <c r="H84" s="132">
        <f>_xlfn.XMATCH(TB_Vendas[[#This Row],[Categoria]],'Cadastros Auxiliares'!$B$8:$E$8,0)</f>
        <v>4</v>
      </c>
      <c r="I84" s="69">
        <f>VLOOKUP(TB_Vendas[[#This Row],[Qtd]],'Cadastros Auxiliares'!$B$8:$E$13,Vendas!H84,TRUE)</f>
        <v>0.15</v>
      </c>
      <c r="J84" s="69" cm="1">
        <f t="array" ref="J84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0.15</v>
      </c>
      <c r="K84" s="69">
        <f>_xlfn.XLOOKUP(TB_Vendas[[#This Row],[Vendedor]],TB_Vendedor[Código],TB_Vendedor[Desc. Máximo])</f>
        <v>0.2</v>
      </c>
      <c r="L84" s="69">
        <f>IF(TB_Vendas[[#This Row],[Desconto 
(Diretão)]]&lt;=TB_Vendas[[#This Row],[Desconto 
(Vendedor)]],TB_Vendas[[#This Row],[Desconto 
(Diretão)]],TB_Vendas[[#This Row],[Desconto 
(Vendedor)]])</f>
        <v>0.15</v>
      </c>
      <c r="M84" s="63">
        <f>TB_Vendas[[#This Row],[Preço Unitário]]*TB_Vendas[[#This Row],[Qtd]]</f>
        <v>765</v>
      </c>
      <c r="N84" s="62" t="s">
        <v>126</v>
      </c>
    </row>
    <row r="85" spans="1:14">
      <c r="A85" s="1">
        <f>MONTH(TB_Vendas[[#This Row],[Data]])</f>
        <v>8</v>
      </c>
      <c r="B85" s="66" t="str">
        <f>PROPER(TEXT(DATE(,TB_Vendas[[#This Row],[Nº]],1),"Mmm"))</f>
        <v>Ago</v>
      </c>
      <c r="C85" s="67">
        <v>45152</v>
      </c>
      <c r="D85" s="66" t="s">
        <v>46</v>
      </c>
      <c r="E85" s="66" t="str">
        <f>_xlfn.XLOOKUP(TB_Vendas[[#This Row],[Código]],TB_Produtos[Código],TB_Produtos[Categoria])</f>
        <v>Vestuário</v>
      </c>
      <c r="F85" s="62">
        <v>6</v>
      </c>
      <c r="G85" s="68">
        <f>_xlfn.XLOOKUP(TB_Vendas[[#This Row],[Código]],TB_Produtos[Código],TB_Produtos[Preço Unitário])</f>
        <v>42.5</v>
      </c>
      <c r="H85" s="132">
        <f>_xlfn.XMATCH(TB_Vendas[[#This Row],[Categoria]],'Cadastros Auxiliares'!$B$8:$E$8,0)</f>
        <v>3</v>
      </c>
      <c r="I85" s="69">
        <f>VLOOKUP(TB_Vendas[[#This Row],[Qtd]],'Cadastros Auxiliares'!$B$8:$E$13,Vendas!H85,TRUE)</f>
        <v>0.25</v>
      </c>
      <c r="J85" s="69" cm="1">
        <f t="array" ref="J85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0.25</v>
      </c>
      <c r="K85" s="69">
        <f>_xlfn.XLOOKUP(TB_Vendas[[#This Row],[Vendedor]],TB_Vendedor[Código],TB_Vendedor[Desc. Máximo])</f>
        <v>0.2</v>
      </c>
      <c r="L85" s="69">
        <f>IF(TB_Vendas[[#This Row],[Desconto 
(Diretão)]]&lt;=TB_Vendas[[#This Row],[Desconto 
(Vendedor)]],TB_Vendas[[#This Row],[Desconto 
(Diretão)]],TB_Vendas[[#This Row],[Desconto 
(Vendedor)]])</f>
        <v>0.2</v>
      </c>
      <c r="M85" s="63">
        <f>TB_Vendas[[#This Row],[Preço Unitário]]*TB_Vendas[[#This Row],[Qtd]]</f>
        <v>255</v>
      </c>
      <c r="N85" s="62" t="s">
        <v>129</v>
      </c>
    </row>
    <row r="86" spans="1:14">
      <c r="A86" s="1">
        <f>MONTH(TB_Vendas[[#This Row],[Data]])</f>
        <v>8</v>
      </c>
      <c r="B86" s="66" t="str">
        <f>PROPER(TEXT(DATE(,TB_Vendas[[#This Row],[Nº]],1),"Mmm"))</f>
        <v>Ago</v>
      </c>
      <c r="C86" s="67">
        <v>45153</v>
      </c>
      <c r="D86" s="66" t="s">
        <v>45</v>
      </c>
      <c r="E86" s="66" t="str">
        <f>_xlfn.XLOOKUP(TB_Vendas[[#This Row],[Código]],TB_Produtos[Código],TB_Produtos[Categoria])</f>
        <v>Vestuário</v>
      </c>
      <c r="F86" s="62">
        <v>8</v>
      </c>
      <c r="G86" s="68">
        <f>_xlfn.XLOOKUP(TB_Vendas[[#This Row],[Código]],TB_Produtos[Código],TB_Produtos[Preço Unitário])</f>
        <v>39.9</v>
      </c>
      <c r="H86" s="132">
        <f>_xlfn.XMATCH(TB_Vendas[[#This Row],[Categoria]],'Cadastros Auxiliares'!$B$8:$E$8,0)</f>
        <v>3</v>
      </c>
      <c r="I86" s="69">
        <f>VLOOKUP(TB_Vendas[[#This Row],[Qtd]],'Cadastros Auxiliares'!$B$8:$E$13,Vendas!H86,TRUE)</f>
        <v>0.25</v>
      </c>
      <c r="J86" s="69" cm="1">
        <f t="array" ref="J86">INDEX('Cadastros Auxiliares'!$B$8:$E$13,_xlfn.XMATCH(TB_Vendas[[#This Row],[Qtd]],'Cadastros Auxiliares'!$B$8:$B$13,-1),_xlfn.XMATCH(_xlfn.XLOOKUP(TB_Vendas[[#This Row],[Código]],TB_Produtos[Código],TB_Produtos[Categoria]),'Cadastros Auxiliares'!$B$8:$E$8,0))</f>
        <v>0.25</v>
      </c>
      <c r="K86" s="69">
        <f>_xlfn.XLOOKUP(TB_Vendas[[#This Row],[Vendedor]],TB_Vendedor[Código],TB_Vendedor[Desc. Máximo])</f>
        <v>0.25</v>
      </c>
      <c r="L86" s="69">
        <f>IF(TB_Vendas[[#This Row],[Desconto 
(Diretão)]]&lt;=TB_Vendas[[#This Row],[Desconto 
(Vendedor)]],TB_Vendas[[#This Row],[Desconto 
(Diretão)]],TB_Vendas[[#This Row],[Desconto 
(Vendedor)]])</f>
        <v>0.25</v>
      </c>
      <c r="M86" s="63">
        <f>TB_Vendas[[#This Row],[Preço Unitário]]*TB_Vendas[[#This Row],[Qtd]]</f>
        <v>319.2</v>
      </c>
      <c r="N86" s="62" t="s">
        <v>127</v>
      </c>
    </row>
    <row r="87" spans="1:14" s="79" customFormat="1" ht="7.8" customHeight="1">
      <c r="A87" s="80"/>
      <c r="B87" s="80"/>
      <c r="C87" s="80"/>
      <c r="D87" s="80"/>
      <c r="E87" s="80"/>
    </row>
  </sheetData>
  <phoneticPr fontId="12" type="noConversion"/>
  <conditionalFormatting sqref="F4:L4">
    <cfRule type="cellIs" dxfId="9" priority="2" operator="equal">
      <formula>0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CD809-06A9-4A05-BD08-554A0B4697F5}">
  <dimension ref="A1:I21"/>
  <sheetViews>
    <sheetView showGridLines="0" topLeftCell="B1" zoomScale="130" zoomScaleNormal="130" workbookViewId="0">
      <selection activeCell="H1" sqref="H1:XFD1048576"/>
    </sheetView>
  </sheetViews>
  <sheetFormatPr defaultColWidth="0" defaultRowHeight="14.4" zeroHeight="1"/>
  <cols>
    <col min="1" max="1" width="8.88671875" customWidth="1"/>
    <col min="2" max="2" width="21.88671875" customWidth="1"/>
    <col min="3" max="3" width="34" customWidth="1"/>
    <col min="4" max="4" width="11.6640625" customWidth="1"/>
    <col min="5" max="5" width="21.88671875" customWidth="1"/>
    <col min="6" max="6" width="34" customWidth="1"/>
    <col min="7" max="7" width="2.6640625" customWidth="1"/>
    <col min="8" max="16384" width="8.88671875" hidden="1"/>
  </cols>
  <sheetData>
    <row r="1" spans="1:9" s="32" customFormat="1" ht="40.200000000000003" customHeight="1">
      <c r="A1" s="35"/>
      <c r="B1" s="39" t="s">
        <v>144</v>
      </c>
      <c r="C1" s="37"/>
      <c r="D1" s="37"/>
      <c r="E1" s="37"/>
      <c r="F1" s="37"/>
      <c r="G1" s="37"/>
      <c r="H1" s="37"/>
      <c r="I1" s="37"/>
    </row>
    <row r="2" spans="1:9" s="33" customFormat="1" ht="4.5" customHeight="1">
      <c r="A2" s="36"/>
      <c r="B2" s="36"/>
      <c r="C2" s="36"/>
      <c r="D2" s="36"/>
      <c r="E2" s="36"/>
      <c r="F2" s="36"/>
    </row>
    <row r="3" spans="1:9" ht="4.5" customHeight="1">
      <c r="A3" s="34"/>
      <c r="B3" s="34"/>
      <c r="C3" s="34"/>
      <c r="D3" s="34"/>
      <c r="E3" s="34"/>
      <c r="F3" s="34"/>
    </row>
    <row r="4" spans="1:9" ht="23.25" customHeight="1">
      <c r="A4" s="34"/>
      <c r="B4" s="98" t="s">
        <v>153</v>
      </c>
      <c r="C4" s="98"/>
      <c r="D4" s="34"/>
      <c r="E4" s="98" t="s">
        <v>160</v>
      </c>
      <c r="F4" s="98"/>
    </row>
    <row r="5" spans="1:9" ht="5.25" customHeight="1" thickBot="1"/>
    <row r="6" spans="1:9" ht="24.6" customHeight="1" thickBot="1">
      <c r="B6" s="55" t="s">
        <v>154</v>
      </c>
      <c r="C6" s="73" t="s">
        <v>103</v>
      </c>
      <c r="E6" s="55" t="s">
        <v>159</v>
      </c>
      <c r="F6" s="71">
        <v>44986</v>
      </c>
    </row>
    <row r="7" spans="1:9" ht="24.6" customHeight="1" thickTop="1" thickBot="1">
      <c r="B7" s="55" t="s">
        <v>155</v>
      </c>
      <c r="C7" s="72" t="str">
        <f>IFERROR(VLOOKUP($C$6,TB_Produtos[],2,FALSE),"")</f>
        <v>Jaqueta de Couro</v>
      </c>
      <c r="E7" s="55" t="s">
        <v>162</v>
      </c>
      <c r="F7" s="72" t="str">
        <f>_xlfn.XLOOKUP(WEEKDAY(F6),'Cadastros Auxiliares'!$B$4:$I$4,'Cadastros Auxiliares'!$B$5:$I$5,"")</f>
        <v>Quarta-feira</v>
      </c>
      <c r="G7" s="41"/>
    </row>
    <row r="8" spans="1:9" ht="24.6" customHeight="1" thickTop="1" thickBot="1">
      <c r="B8" s="56" t="s">
        <v>156</v>
      </c>
      <c r="C8" s="40" t="str">
        <f>_xlfn.XLOOKUP($C$6,TB_Produtos[Código],TB_Produtos[Tamanho],"")</f>
        <v>P</v>
      </c>
      <c r="E8" s="56" t="s">
        <v>163</v>
      </c>
      <c r="F8" s="51">
        <f>SUMIF(TB_Vendas[[#All],[Data]],Consultas!$F$6,TB_Vendas[[#All],[Total]])</f>
        <v>907.9</v>
      </c>
      <c r="G8" s="41"/>
    </row>
    <row r="9" spans="1:9" ht="24.6" customHeight="1" thickTop="1" thickBot="1">
      <c r="B9" s="57" t="s">
        <v>157</v>
      </c>
      <c r="C9" s="40" t="str">
        <f>_xlfn.XLOOKUP($C$6,TB_Produtos[Código],TB_Produtos[Categoria],"")</f>
        <v>Vestuário</v>
      </c>
      <c r="E9" s="70" t="s">
        <v>161</v>
      </c>
      <c r="F9" s="42">
        <f>SUMIF(TB_Vendas[[#All],[Data]],Consultas!$F$6,TB_Vendas[[#All],[Qtd]])</f>
        <v>4</v>
      </c>
      <c r="G9" s="41"/>
    </row>
    <row r="10" spans="1:9" ht="24.6" customHeight="1" thickTop="1" thickBot="1">
      <c r="B10" s="57" t="s">
        <v>164</v>
      </c>
      <c r="C10" s="51">
        <f>_xlfn.XLOOKUP($C$6,TB_Produtos[Código],TB_Produtos[Preço Unitário],"")</f>
        <v>289.89999999999998</v>
      </c>
      <c r="G10" s="41"/>
    </row>
    <row r="11" spans="1:9" ht="24.6" customHeight="1" thickTop="1" thickBot="1">
      <c r="B11" s="55" t="s">
        <v>158</v>
      </c>
      <c r="C11" s="72">
        <f>_xlfn.XLOOKUP($C$6,TB_Produtos[Código],TB_Produtos[Estoque],"")</f>
        <v>15</v>
      </c>
      <c r="G11" s="41"/>
    </row>
    <row r="12" spans="1:9" ht="24.6" customHeight="1" thickTop="1" thickBot="1">
      <c r="B12" s="55" t="s">
        <v>166</v>
      </c>
      <c r="C12" s="74" t="str" cm="1">
        <f t="array" ref="C12">_xlfn.IFS($C$11=0,"Zerou o Estoque",$C$11&gt;_xlfn.XLOOKUP(C9,'Cadastros Auxiliares'!G9:G11,'Cadastros Auxiliares'!H9:H11,""),"Estoque em Dia",1,"Rever o Estoque")</f>
        <v>Estoque em Dia</v>
      </c>
      <c r="G12" s="41"/>
    </row>
    <row r="13" spans="1:9" ht="22.8" thickTop="1" thickBot="1">
      <c r="B13" s="58" t="s">
        <v>167</v>
      </c>
      <c r="C13" s="42" t="str">
        <f>IF($C$11&gt;=10,"Estoque OK",IF($C$11=0,"Estoque Zerado","Estoque Baixo"))</f>
        <v>Estoque OK</v>
      </c>
      <c r="D13" s="59"/>
      <c r="E13" s="52"/>
    </row>
    <row r="14" spans="1:9" ht="23.4">
      <c r="E14" s="53"/>
    </row>
    <row r="15" spans="1:9"/>
    <row r="16" spans="1:9"/>
    <row r="17"/>
    <row r="18"/>
    <row r="19"/>
    <row r="20"/>
    <row r="21"/>
  </sheetData>
  <mergeCells count="2">
    <mergeCell ref="B4:C4"/>
    <mergeCell ref="E4:F4"/>
  </mergeCells>
  <conditionalFormatting sqref="C12">
    <cfRule type="containsText" dxfId="8" priority="1" operator="containsText" text="Estoque em Dia">
      <formula>NOT(ISERROR(SEARCH("Estoque em Dia",C12)))</formula>
    </cfRule>
    <cfRule type="containsText" dxfId="7" priority="2" operator="containsText" text="Rever o Estoque">
      <formula>NOT(ISERROR(SEARCH("Rever o Estoque",C12)))</formula>
    </cfRule>
    <cfRule type="containsText" dxfId="6" priority="3" operator="containsText" text="Zerou o Estoque">
      <formula>NOT(ISERROR(SEARCH("Zerou o Estoque",C12)))</formula>
    </cfRule>
  </conditionalFormatting>
  <conditionalFormatting sqref="C13">
    <cfRule type="containsText" dxfId="5" priority="7" operator="containsText" text="Estoque OK">
      <formula>NOT(ISERROR(SEARCH("Estoque OK",C13)))</formula>
    </cfRule>
    <cfRule type="containsText" dxfId="4" priority="8" operator="containsText" text="Estoque Baixo">
      <formula>NOT(ISERROR(SEARCH("Estoque Baixo",C13)))</formula>
    </cfRule>
    <cfRule type="containsText" dxfId="3" priority="9" operator="containsText" text="Estoque Zerado">
      <formula>NOT(ISERROR(SEARCH("Estoque Zerado",C13)))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86D00EA-C09E-4AF2-85F6-0FFA8584E7FB}">
          <x14:formula1>
            <xm:f>Produtos!$B:$B</xm:f>
          </x14:formula1>
          <xm:sqref>C6</xm:sqref>
        </x14:dataValidation>
        <x14:dataValidation type="list" allowBlank="1" showInputMessage="1" showErrorMessage="1" xr:uid="{D14864B3-67D5-45F6-83BC-59307DFC7664}">
          <x14:formula1>
            <xm:f>Vendas!$C:$C</xm:f>
          </x14:formula1>
          <xm:sqref>F6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2BDC0-A65B-4C9D-82C8-12971CC672AB}">
  <sheetPr>
    <tabColor rgb="FFFF0000"/>
  </sheetPr>
  <dimension ref="A1:J24"/>
  <sheetViews>
    <sheetView zoomScale="110" zoomScaleNormal="110" workbookViewId="0">
      <selection activeCell="B8" sqref="B8:E13"/>
    </sheetView>
  </sheetViews>
  <sheetFormatPr defaultColWidth="0" defaultRowHeight="14.4" zeroHeight="1"/>
  <cols>
    <col min="1" max="1" width="8" customWidth="1"/>
    <col min="2" max="2" width="30.88671875" customWidth="1"/>
    <col min="3" max="8" width="17.44140625" customWidth="1"/>
    <col min="9" max="9" width="17.44140625" style="79" customWidth="1"/>
    <col min="10" max="10" width="1.33203125" style="79" customWidth="1"/>
    <col min="11" max="16384" width="8.88671875" style="79" hidden="1"/>
  </cols>
  <sheetData>
    <row r="1" spans="1:10" ht="40.200000000000003" customHeight="1">
      <c r="A1" s="32"/>
      <c r="B1" s="50" t="s">
        <v>135</v>
      </c>
      <c r="C1" s="39"/>
      <c r="D1" s="39"/>
      <c r="E1" s="39"/>
      <c r="F1" s="39"/>
      <c r="G1" s="39"/>
      <c r="H1" s="39"/>
      <c r="I1" s="37"/>
      <c r="J1" s="83"/>
    </row>
    <row r="2" spans="1:10" ht="4.5" customHeight="1">
      <c r="A2" s="33"/>
      <c r="B2" s="36"/>
      <c r="C2" s="36"/>
      <c r="D2" s="36"/>
      <c r="E2" s="36"/>
      <c r="F2" s="36"/>
      <c r="G2" s="36"/>
      <c r="H2" s="33"/>
      <c r="I2" s="33"/>
    </row>
    <row r="3" spans="1:10" ht="4.5" customHeight="1" thickBot="1">
      <c r="A3" s="79"/>
      <c r="B3" s="78"/>
      <c r="C3" s="78"/>
      <c r="D3" s="78"/>
      <c r="E3" s="78"/>
      <c r="F3" s="78"/>
      <c r="G3" s="78"/>
      <c r="H3" s="79"/>
    </row>
    <row r="4" spans="1:10" ht="22.2" thickBot="1">
      <c r="B4" s="75" t="s">
        <v>30</v>
      </c>
      <c r="C4" s="76">
        <v>1</v>
      </c>
      <c r="D4" s="77">
        <v>2</v>
      </c>
      <c r="E4" s="76">
        <v>3</v>
      </c>
      <c r="F4" s="77">
        <v>4</v>
      </c>
      <c r="G4" s="76">
        <v>5</v>
      </c>
      <c r="H4" s="77">
        <v>6</v>
      </c>
      <c r="I4" s="76">
        <v>7</v>
      </c>
    </row>
    <row r="5" spans="1:10" s="82" customFormat="1" ht="22.2" thickBot="1">
      <c r="B5" s="43" t="s">
        <v>136</v>
      </c>
      <c r="C5" s="44" t="s">
        <v>137</v>
      </c>
      <c r="D5" s="44" t="s">
        <v>138</v>
      </c>
      <c r="E5" s="44" t="s">
        <v>139</v>
      </c>
      <c r="F5" s="44" t="s">
        <v>140</v>
      </c>
      <c r="G5" s="44" t="s">
        <v>141</v>
      </c>
      <c r="H5" s="44" t="s">
        <v>142</v>
      </c>
      <c r="I5" s="44" t="s">
        <v>143</v>
      </c>
    </row>
    <row r="6" spans="1:10">
      <c r="A6" s="79"/>
      <c r="B6" s="79"/>
      <c r="C6" s="79"/>
      <c r="D6" s="79"/>
      <c r="E6" s="79"/>
      <c r="F6" s="79"/>
      <c r="G6" s="79"/>
      <c r="H6" s="79"/>
    </row>
    <row r="7" spans="1:10" ht="15" thickBot="1">
      <c r="A7" s="79"/>
      <c r="B7" s="79"/>
      <c r="C7" s="79"/>
      <c r="D7" s="79"/>
      <c r="E7" s="79"/>
      <c r="F7" s="79"/>
      <c r="G7" s="79"/>
      <c r="H7" s="79"/>
    </row>
    <row r="8" spans="1:10" ht="43.8" thickBot="1">
      <c r="A8" s="79"/>
      <c r="B8" s="47" t="s">
        <v>152</v>
      </c>
      <c r="C8" s="48" t="s">
        <v>13</v>
      </c>
      <c r="D8" s="48" t="s">
        <v>12</v>
      </c>
      <c r="E8" s="48" t="s">
        <v>14</v>
      </c>
      <c r="F8" s="79"/>
      <c r="G8" s="48" t="s">
        <v>10</v>
      </c>
      <c r="H8" s="47" t="s">
        <v>165</v>
      </c>
    </row>
    <row r="9" spans="1:10" ht="17.399999999999999" thickBot="1">
      <c r="A9" s="79"/>
      <c r="B9" s="44">
        <v>1</v>
      </c>
      <c r="C9" s="46">
        <v>0</v>
      </c>
      <c r="D9" s="46">
        <v>0.1</v>
      </c>
      <c r="E9" s="49">
        <v>0</v>
      </c>
      <c r="F9" s="79"/>
      <c r="G9" s="49" t="s">
        <v>13</v>
      </c>
      <c r="H9" s="60">
        <v>5</v>
      </c>
    </row>
    <row r="10" spans="1:10" ht="17.399999999999999" thickBot="1">
      <c r="A10" s="79"/>
      <c r="B10" s="44">
        <v>2</v>
      </c>
      <c r="C10" s="46">
        <v>0.05</v>
      </c>
      <c r="D10" s="46">
        <v>0.15</v>
      </c>
      <c r="E10" s="49">
        <v>0.1</v>
      </c>
      <c r="F10" s="79"/>
      <c r="G10" s="49" t="s">
        <v>12</v>
      </c>
      <c r="H10" s="60">
        <v>10</v>
      </c>
    </row>
    <row r="11" spans="1:10" ht="17.399999999999999" thickBot="1">
      <c r="A11" s="79"/>
      <c r="B11" s="44">
        <v>3</v>
      </c>
      <c r="C11" s="46">
        <v>0.15</v>
      </c>
      <c r="D11" s="46">
        <v>0.2</v>
      </c>
      <c r="E11" s="49">
        <v>0.15</v>
      </c>
      <c r="F11" s="79"/>
      <c r="G11" s="49" t="s">
        <v>14</v>
      </c>
      <c r="H11" s="60">
        <v>15</v>
      </c>
    </row>
    <row r="12" spans="1:10" ht="17.399999999999999" thickBot="1">
      <c r="A12" s="79"/>
      <c r="B12" s="44">
        <v>5</v>
      </c>
      <c r="C12" s="46">
        <v>0.25</v>
      </c>
      <c r="D12" s="46">
        <v>0.25</v>
      </c>
      <c r="E12" s="49">
        <v>0.25</v>
      </c>
      <c r="F12" s="79"/>
      <c r="G12" s="49"/>
      <c r="H12" s="60"/>
    </row>
    <row r="13" spans="1:10" ht="17.399999999999999" thickBot="1">
      <c r="A13" s="79"/>
      <c r="B13" s="44">
        <v>10</v>
      </c>
      <c r="C13" s="46">
        <v>0.3</v>
      </c>
      <c r="D13" s="46">
        <v>0.3</v>
      </c>
      <c r="E13" s="49">
        <v>0.3</v>
      </c>
      <c r="F13" s="79"/>
      <c r="G13" s="49"/>
      <c r="H13" s="60"/>
    </row>
    <row r="14" spans="1:10">
      <c r="A14" s="79"/>
      <c r="B14" s="79"/>
      <c r="C14" s="79"/>
      <c r="D14" s="79"/>
      <c r="E14" s="79"/>
      <c r="F14" s="79"/>
      <c r="G14" s="79"/>
      <c r="H14" s="79"/>
    </row>
    <row r="15" spans="1:10">
      <c r="A15" s="79"/>
      <c r="B15" s="79"/>
      <c r="C15" s="79"/>
      <c r="D15" s="79"/>
      <c r="E15" s="79"/>
      <c r="F15" s="79"/>
      <c r="G15" s="79"/>
      <c r="H15" s="79"/>
    </row>
    <row r="16" spans="1:10">
      <c r="A16" s="79"/>
      <c r="B16" s="79"/>
      <c r="C16" s="84" t="s">
        <v>60</v>
      </c>
      <c r="D16" s="79"/>
      <c r="E16" s="79"/>
      <c r="F16" s="84">
        <f>_xlfn.XMATCH(C18,B8:E8,0)</f>
        <v>4</v>
      </c>
      <c r="G16" s="84" t="s">
        <v>169</v>
      </c>
      <c r="H16" s="79"/>
    </row>
    <row r="17" spans="3:7" s="79" customFormat="1">
      <c r="C17" s="84">
        <v>4</v>
      </c>
      <c r="D17" s="85">
        <f>VLOOKUP(C17,B9:E13,F16,TRUE)</f>
        <v>0.15</v>
      </c>
      <c r="F17" s="84">
        <f>_xlfn.XMATCH(C17,B8:B13,-1)</f>
        <v>4</v>
      </c>
      <c r="G17" s="84" t="s">
        <v>170</v>
      </c>
    </row>
    <row r="18" spans="3:7" s="79" customFormat="1">
      <c r="C18" s="84" t="str">
        <f>_xlfn.XLOOKUP(C16,TB_Produtos[Código],TB_Produtos[Categoria])</f>
        <v>Calçado</v>
      </c>
      <c r="F18" s="85" cm="1">
        <f t="array" ref="F18">INDEX(B8:E13,_xlfn.XMATCH(C17,B8:B13,-1),_xlfn.XMATCH(C18,B8:E8,0))</f>
        <v>0.15</v>
      </c>
      <c r="G18" s="84"/>
    </row>
    <row r="19" spans="3:7" s="79" customFormat="1"/>
    <row r="20" spans="3:7" s="79" customFormat="1"/>
    <row r="21" spans="3:7" s="79" customFormat="1"/>
    <row r="22" spans="3:7" s="79" customFormat="1"/>
    <row r="23" spans="3:7" s="79" customFormat="1"/>
    <row r="24" spans="3:7" s="79" customFormat="1"/>
  </sheetData>
  <phoneticPr fontId="12" type="noConversion"/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BF57CE93-2177-4A14-903B-09BEB3513462}">
          <x14:formula1>
            <xm:f>Produtos!$E$7:$E$66</xm:f>
          </x14:formula1>
          <xm:sqref>C8 G9:G13</xm:sqref>
        </x14:dataValidation>
        <x14:dataValidation type="list" allowBlank="1" showInputMessage="1" showErrorMessage="1" xr:uid="{E7DDBF30-1ACC-417D-847E-532D896289A8}">
          <x14:formula1>
            <xm:f>Produtos!$E$7:$E$66</xm:f>
          </x14:formula1>
          <xm:sqref>D8:E8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C8038-61C9-4400-BEE1-D854E2F5FA67}">
  <dimension ref="A1:L14"/>
  <sheetViews>
    <sheetView zoomScaleNormal="100" workbookViewId="0">
      <selection activeCell="I10" sqref="I10"/>
    </sheetView>
  </sheetViews>
  <sheetFormatPr defaultRowHeight="14.4"/>
  <cols>
    <col min="1" max="1" width="17.109375" customWidth="1"/>
    <col min="2" max="2" width="20.88671875" customWidth="1"/>
    <col min="3" max="3" width="1.33203125" customWidth="1"/>
    <col min="6" max="6" width="13.5546875" customWidth="1"/>
    <col min="8" max="8" width="1.33203125" customWidth="1"/>
    <col min="9" max="11" width="13" customWidth="1"/>
    <col min="12" max="12" width="15.33203125" customWidth="1"/>
  </cols>
  <sheetData>
    <row r="1" spans="1:12" s="13" customFormat="1">
      <c r="A1" s="14" t="s">
        <v>84</v>
      </c>
      <c r="B1" s="15" t="s">
        <v>85</v>
      </c>
      <c r="D1" s="14" t="s">
        <v>87</v>
      </c>
      <c r="E1" s="18" t="s">
        <v>86</v>
      </c>
      <c r="F1" s="18" t="s">
        <v>16</v>
      </c>
      <c r="G1" s="15" t="s">
        <v>15</v>
      </c>
      <c r="I1" s="21" t="s">
        <v>10</v>
      </c>
      <c r="J1" s="23" t="s">
        <v>95</v>
      </c>
      <c r="K1" s="23" t="s">
        <v>94</v>
      </c>
      <c r="L1" s="22" t="s">
        <v>16</v>
      </c>
    </row>
    <row r="2" spans="1:12">
      <c r="A2" s="3" t="s">
        <v>13</v>
      </c>
      <c r="B2" s="16" t="e">
        <f>SUMIF(#REF!,A2,TB_Vendas[Total])</f>
        <v>#REF!</v>
      </c>
      <c r="D2" s="3">
        <v>1</v>
      </c>
      <c r="E2" s="2" t="s">
        <v>88</v>
      </c>
      <c r="F2" s="6">
        <f>SUMIF(TB_Vendas[Nº],D2,TB_Vendas[Total])</f>
        <v>1750.9</v>
      </c>
      <c r="G2" s="19">
        <f>SUMIF(TB_Vendas[Nº],D2,TB_Vendas[Qtd])</f>
        <v>14</v>
      </c>
      <c r="I2" s="3" t="s">
        <v>72</v>
      </c>
      <c r="J2" s="26" t="e">
        <f>L2/SUM($L$2:$L$4)</f>
        <v>#DIV/0!</v>
      </c>
      <c r="K2" s="24" t="e">
        <f>100%-J2</f>
        <v>#DIV/0!</v>
      </c>
      <c r="L2" s="16">
        <f>SUMIF(TB_Vendas[Vendedor],I2,TB_Vendas[Total])</f>
        <v>0</v>
      </c>
    </row>
    <row r="3" spans="1:12">
      <c r="A3" s="3" t="s">
        <v>71</v>
      </c>
      <c r="B3" s="16" t="e">
        <f>SUMIF(#REF!,A3,TB_Vendas[Total])</f>
        <v>#REF!</v>
      </c>
      <c r="D3" s="3">
        <v>2</v>
      </c>
      <c r="E3" s="2" t="s">
        <v>89</v>
      </c>
      <c r="F3" s="6">
        <f>SUMIF(TB_Vendas[Nº],D3,TB_Vendas[Total])</f>
        <v>2974.9</v>
      </c>
      <c r="G3" s="19">
        <f>SUMIF(TB_Vendas[Nº],D3,TB_Vendas[Qtd])</f>
        <v>15</v>
      </c>
      <c r="I3" s="3" t="s">
        <v>73</v>
      </c>
      <c r="J3" s="26" t="e">
        <f t="shared" ref="J3" si="0">L3/SUM($L$2:$L$4)</f>
        <v>#DIV/0!</v>
      </c>
      <c r="K3" s="24" t="e">
        <f t="shared" ref="K3:K4" si="1">100%-J3</f>
        <v>#DIV/0!</v>
      </c>
      <c r="L3" s="16">
        <f>SUMIF(TB_Vendas[Vendedor],I3,TB_Vendas[Total])</f>
        <v>0</v>
      </c>
    </row>
    <row r="4" spans="1:12" ht="15" thickBot="1">
      <c r="A4" s="4" t="s">
        <v>12</v>
      </c>
      <c r="B4" s="17" t="e">
        <f>SUMIF(#REF!,A4,TB_Vendas[Total])</f>
        <v>#REF!</v>
      </c>
      <c r="D4" s="3">
        <v>3</v>
      </c>
      <c r="E4" s="2" t="s">
        <v>90</v>
      </c>
      <c r="F4" s="6">
        <f>SUMIF(TB_Vendas[Nº],D4,TB_Vendas[Total])</f>
        <v>3698.1</v>
      </c>
      <c r="G4" s="19">
        <f>SUMIF(TB_Vendas[Nº],D4,TB_Vendas[Qtd])</f>
        <v>26</v>
      </c>
      <c r="I4" s="4" t="s">
        <v>75</v>
      </c>
      <c r="J4" s="27" t="e">
        <f>L4/SUM($L$2:$L$4)</f>
        <v>#DIV/0!</v>
      </c>
      <c r="K4" s="25" t="e">
        <f t="shared" si="1"/>
        <v>#DIV/0!</v>
      </c>
      <c r="L4" s="17">
        <f>SUMIF(TB_Vendas[Vendedor],I4,TB_Vendas[Total])</f>
        <v>0</v>
      </c>
    </row>
    <row r="5" spans="1:12">
      <c r="D5" s="3">
        <v>4</v>
      </c>
      <c r="E5" s="2" t="s">
        <v>91</v>
      </c>
      <c r="F5" s="6">
        <f>SUMIF(TB_Vendas[Nº],D5,TB_Vendas[Total])</f>
        <v>3651.0999999999995</v>
      </c>
      <c r="G5" s="19">
        <f>SUMIF(TB_Vendas[Nº],D5,TB_Vendas[Qtd])</f>
        <v>28</v>
      </c>
    </row>
    <row r="6" spans="1:12">
      <c r="D6" s="3">
        <v>5</v>
      </c>
      <c r="E6" s="2" t="s">
        <v>92</v>
      </c>
      <c r="F6" s="6">
        <f>SUMIF(TB_Vendas[Nº],D6,TB_Vendas[Total])</f>
        <v>2776.2999999999997</v>
      </c>
      <c r="G6" s="19">
        <f>SUMIF(TB_Vendas[Nº],D6,TB_Vendas[Qtd])</f>
        <v>17</v>
      </c>
    </row>
    <row r="7" spans="1:12" ht="15" thickBot="1">
      <c r="D7" s="4">
        <v>6</v>
      </c>
      <c r="E7" s="5" t="s">
        <v>93</v>
      </c>
      <c r="F7" s="7">
        <f>SUMIF(TB_Vendas[Nº],D7,TB_Vendas[Total])</f>
        <v>3477.7000000000007</v>
      </c>
      <c r="G7" s="20">
        <f>SUMIF(TB_Vendas[Nº],D7,TB_Vendas[Qtd])</f>
        <v>41</v>
      </c>
    </row>
    <row r="11" spans="1:12">
      <c r="I11" s="28"/>
      <c r="J11" s="28"/>
      <c r="K11" s="28"/>
      <c r="L11" s="28"/>
    </row>
    <row r="12" spans="1:12">
      <c r="J12" s="29"/>
      <c r="K12" s="30"/>
      <c r="L12" s="8"/>
    </row>
    <row r="13" spans="1:12">
      <c r="J13" s="29"/>
      <c r="K13" s="30"/>
      <c r="L13" s="8"/>
    </row>
    <row r="14" spans="1:12">
      <c r="J14" s="29"/>
      <c r="K14" s="30"/>
      <c r="L14" s="8"/>
    </row>
  </sheetData>
  <phoneticPr fontId="12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66AFB-3F48-47D7-9498-011A1BD0AB45}">
  <dimension ref="C1:CB46"/>
  <sheetViews>
    <sheetView showGridLines="0" showRowColHeaders="0" zoomScaleNormal="100" workbookViewId="0">
      <selection activeCell="W2" sqref="W2:AN3"/>
    </sheetView>
  </sheetViews>
  <sheetFormatPr defaultColWidth="2" defaultRowHeight="9.75" customHeight="1"/>
  <cols>
    <col min="1" max="16384" width="2" style="11"/>
  </cols>
  <sheetData>
    <row r="1" spans="3:80" ht="9.75" customHeight="1" thickBot="1"/>
    <row r="2" spans="3:80" ht="9.75" customHeight="1">
      <c r="W2" s="99" t="s">
        <v>78</v>
      </c>
      <c r="X2" s="100"/>
      <c r="Y2" s="100"/>
      <c r="Z2" s="100"/>
      <c r="AA2" s="100"/>
      <c r="AB2" s="100"/>
      <c r="AC2" s="100"/>
      <c r="AD2" s="100"/>
      <c r="AE2" s="100"/>
      <c r="AF2" s="100"/>
      <c r="AG2" s="100"/>
      <c r="AH2" s="100"/>
      <c r="AI2" s="100"/>
      <c r="AJ2" s="100"/>
      <c r="AK2" s="100"/>
      <c r="AL2" s="100"/>
      <c r="AM2" s="100"/>
      <c r="AN2" s="101"/>
      <c r="AQ2" s="99" t="s">
        <v>79</v>
      </c>
      <c r="AR2" s="100"/>
      <c r="AS2" s="100"/>
      <c r="AT2" s="100"/>
      <c r="AU2" s="100"/>
      <c r="AV2" s="100"/>
      <c r="AW2" s="100"/>
      <c r="AX2" s="100"/>
      <c r="AY2" s="100"/>
      <c r="AZ2" s="100"/>
      <c r="BA2" s="100"/>
      <c r="BB2" s="100"/>
      <c r="BC2" s="100"/>
      <c r="BD2" s="100"/>
      <c r="BE2" s="100"/>
      <c r="BF2" s="100"/>
      <c r="BG2" s="100"/>
      <c r="BH2" s="101"/>
      <c r="BK2" s="99" t="s">
        <v>80</v>
      </c>
      <c r="BL2" s="100"/>
      <c r="BM2" s="100"/>
      <c r="BN2" s="100"/>
      <c r="BO2" s="100"/>
      <c r="BP2" s="100"/>
      <c r="BQ2" s="100"/>
      <c r="BR2" s="100"/>
      <c r="BS2" s="100"/>
      <c r="BT2" s="100"/>
      <c r="BU2" s="100"/>
      <c r="BV2" s="100"/>
      <c r="BW2" s="100"/>
      <c r="BX2" s="100"/>
      <c r="BY2" s="100"/>
      <c r="BZ2" s="100"/>
      <c r="CA2" s="100"/>
      <c r="CB2" s="101"/>
    </row>
    <row r="3" spans="3:80" ht="9.75" customHeight="1" thickBot="1">
      <c r="W3" s="102"/>
      <c r="X3" s="103"/>
      <c r="Y3" s="103"/>
      <c r="Z3" s="103"/>
      <c r="AA3" s="103"/>
      <c r="AB3" s="103"/>
      <c r="AC3" s="103"/>
      <c r="AD3" s="103"/>
      <c r="AE3" s="103"/>
      <c r="AF3" s="103"/>
      <c r="AG3" s="103"/>
      <c r="AH3" s="103"/>
      <c r="AI3" s="103"/>
      <c r="AJ3" s="103"/>
      <c r="AK3" s="103"/>
      <c r="AL3" s="103"/>
      <c r="AM3" s="103"/>
      <c r="AN3" s="104"/>
      <c r="AQ3" s="102"/>
      <c r="AR3" s="103"/>
      <c r="AS3" s="103"/>
      <c r="AT3" s="103"/>
      <c r="AU3" s="103"/>
      <c r="AV3" s="103"/>
      <c r="AW3" s="103"/>
      <c r="AX3" s="103"/>
      <c r="AY3" s="103"/>
      <c r="AZ3" s="103"/>
      <c r="BA3" s="103"/>
      <c r="BB3" s="103"/>
      <c r="BC3" s="103"/>
      <c r="BD3" s="103"/>
      <c r="BE3" s="103"/>
      <c r="BF3" s="103"/>
      <c r="BG3" s="103"/>
      <c r="BH3" s="104"/>
      <c r="BK3" s="102"/>
      <c r="BL3" s="103"/>
      <c r="BM3" s="103"/>
      <c r="BN3" s="103"/>
      <c r="BO3" s="103"/>
      <c r="BP3" s="103"/>
      <c r="BQ3" s="103"/>
      <c r="BR3" s="103"/>
      <c r="BS3" s="103"/>
      <c r="BT3" s="103"/>
      <c r="BU3" s="103"/>
      <c r="BV3" s="103"/>
      <c r="BW3" s="103"/>
      <c r="BX3" s="103"/>
      <c r="BY3" s="103"/>
      <c r="BZ3" s="103"/>
      <c r="CA3" s="103"/>
      <c r="CB3" s="104"/>
    </row>
    <row r="4" spans="3:80" ht="9.75" customHeight="1">
      <c r="W4" s="105">
        <f>COUNTA(TB_Produtos[Código])</f>
        <v>60</v>
      </c>
      <c r="X4" s="106"/>
      <c r="Y4" s="106"/>
      <c r="Z4" s="106"/>
      <c r="AA4" s="106"/>
      <c r="AB4" s="106"/>
      <c r="AC4" s="106"/>
      <c r="AD4" s="106"/>
      <c r="AE4" s="106"/>
      <c r="AF4" s="106"/>
      <c r="AG4" s="106"/>
      <c r="AH4" s="106"/>
      <c r="AI4" s="106"/>
      <c r="AJ4" s="106"/>
      <c r="AK4" s="106"/>
      <c r="AL4" s="106"/>
      <c r="AM4" s="106"/>
      <c r="AN4" s="107"/>
      <c r="AQ4" s="105">
        <f>SUM(TB_Vendas[Qtd])</f>
        <v>250</v>
      </c>
      <c r="AR4" s="106"/>
      <c r="AS4" s="106"/>
      <c r="AT4" s="106"/>
      <c r="AU4" s="106"/>
      <c r="AV4" s="106"/>
      <c r="AW4" s="106"/>
      <c r="AX4" s="106"/>
      <c r="AY4" s="106"/>
      <c r="AZ4" s="106"/>
      <c r="BA4" s="106"/>
      <c r="BB4" s="106"/>
      <c r="BC4" s="106"/>
      <c r="BD4" s="106"/>
      <c r="BE4" s="106"/>
      <c r="BF4" s="106"/>
      <c r="BG4" s="106"/>
      <c r="BH4" s="107"/>
      <c r="BK4" s="114">
        <f>SUM(TB_Vendas[Total])</f>
        <v>33304.799999999988</v>
      </c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6"/>
    </row>
    <row r="5" spans="3:80" ht="9.75" customHeight="1">
      <c r="W5" s="108"/>
      <c r="X5" s="109"/>
      <c r="Y5" s="109"/>
      <c r="Z5" s="109"/>
      <c r="AA5" s="109"/>
      <c r="AB5" s="109"/>
      <c r="AC5" s="109"/>
      <c r="AD5" s="109"/>
      <c r="AE5" s="109"/>
      <c r="AF5" s="109"/>
      <c r="AG5" s="109"/>
      <c r="AH5" s="109"/>
      <c r="AI5" s="109"/>
      <c r="AJ5" s="109"/>
      <c r="AK5" s="109"/>
      <c r="AL5" s="109"/>
      <c r="AM5" s="109"/>
      <c r="AN5" s="110"/>
      <c r="AQ5" s="108"/>
      <c r="AR5" s="109"/>
      <c r="AS5" s="109"/>
      <c r="AT5" s="109"/>
      <c r="AU5" s="109"/>
      <c r="AV5" s="109"/>
      <c r="AW5" s="109"/>
      <c r="AX5" s="109"/>
      <c r="AY5" s="109"/>
      <c r="AZ5" s="109"/>
      <c r="BA5" s="109"/>
      <c r="BB5" s="109"/>
      <c r="BC5" s="109"/>
      <c r="BD5" s="109"/>
      <c r="BE5" s="109"/>
      <c r="BF5" s="109"/>
      <c r="BG5" s="109"/>
      <c r="BH5" s="110"/>
      <c r="BK5" s="117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19"/>
    </row>
    <row r="6" spans="3:80" ht="9.75" customHeight="1">
      <c r="W6" s="108"/>
      <c r="X6" s="109"/>
      <c r="Y6" s="109"/>
      <c r="Z6" s="109"/>
      <c r="AA6" s="109"/>
      <c r="AB6" s="109"/>
      <c r="AC6" s="109"/>
      <c r="AD6" s="109"/>
      <c r="AE6" s="109"/>
      <c r="AF6" s="109"/>
      <c r="AG6" s="109"/>
      <c r="AH6" s="109"/>
      <c r="AI6" s="109"/>
      <c r="AJ6" s="109"/>
      <c r="AK6" s="109"/>
      <c r="AL6" s="109"/>
      <c r="AM6" s="109"/>
      <c r="AN6" s="110"/>
      <c r="AQ6" s="108"/>
      <c r="AR6" s="109"/>
      <c r="AS6" s="109"/>
      <c r="AT6" s="109"/>
      <c r="AU6" s="109"/>
      <c r="AV6" s="109"/>
      <c r="AW6" s="109"/>
      <c r="AX6" s="109"/>
      <c r="AY6" s="109"/>
      <c r="AZ6" s="109"/>
      <c r="BA6" s="109"/>
      <c r="BB6" s="109"/>
      <c r="BC6" s="109"/>
      <c r="BD6" s="109"/>
      <c r="BE6" s="109"/>
      <c r="BF6" s="109"/>
      <c r="BG6" s="109"/>
      <c r="BH6" s="110"/>
      <c r="BK6" s="117"/>
      <c r="BL6" s="118"/>
      <c r="BM6" s="118"/>
      <c r="BN6" s="118"/>
      <c r="BO6" s="118"/>
      <c r="BP6" s="118"/>
      <c r="BQ6" s="118"/>
      <c r="BR6" s="118"/>
      <c r="BS6" s="118"/>
      <c r="BT6" s="118"/>
      <c r="BU6" s="118"/>
      <c r="BV6" s="118"/>
      <c r="BW6" s="118"/>
      <c r="BX6" s="118"/>
      <c r="BY6" s="118"/>
      <c r="BZ6" s="118"/>
      <c r="CA6" s="118"/>
      <c r="CB6" s="119"/>
    </row>
    <row r="7" spans="3:80" ht="9.75" customHeight="1" thickBot="1">
      <c r="W7" s="111"/>
      <c r="X7" s="112"/>
      <c r="Y7" s="112"/>
      <c r="Z7" s="112"/>
      <c r="AA7" s="112"/>
      <c r="AB7" s="112"/>
      <c r="AC7" s="112"/>
      <c r="AD7" s="112"/>
      <c r="AE7" s="112"/>
      <c r="AF7" s="112"/>
      <c r="AG7" s="112"/>
      <c r="AH7" s="112"/>
      <c r="AI7" s="112"/>
      <c r="AJ7" s="112"/>
      <c r="AK7" s="112"/>
      <c r="AL7" s="112"/>
      <c r="AM7" s="112"/>
      <c r="AN7" s="113"/>
      <c r="AQ7" s="111"/>
      <c r="AR7" s="112"/>
      <c r="AS7" s="112"/>
      <c r="AT7" s="112"/>
      <c r="AU7" s="112"/>
      <c r="AV7" s="112"/>
      <c r="AW7" s="112"/>
      <c r="AX7" s="112"/>
      <c r="AY7" s="112"/>
      <c r="AZ7" s="112"/>
      <c r="BA7" s="112"/>
      <c r="BB7" s="112"/>
      <c r="BC7" s="112"/>
      <c r="BD7" s="112"/>
      <c r="BE7" s="112"/>
      <c r="BF7" s="112"/>
      <c r="BG7" s="112"/>
      <c r="BH7" s="113"/>
      <c r="BK7" s="120"/>
      <c r="BL7" s="121"/>
      <c r="BM7" s="121"/>
      <c r="BN7" s="121"/>
      <c r="BO7" s="121"/>
      <c r="BP7" s="121"/>
      <c r="BQ7" s="121"/>
      <c r="BR7" s="121"/>
      <c r="BS7" s="121"/>
      <c r="BT7" s="121"/>
      <c r="BU7" s="121"/>
      <c r="BV7" s="121"/>
      <c r="BW7" s="121"/>
      <c r="BX7" s="121"/>
      <c r="BY7" s="121"/>
      <c r="BZ7" s="121"/>
      <c r="CA7" s="121"/>
      <c r="CB7" s="122"/>
    </row>
    <row r="8" spans="3:80" ht="9.75" customHeight="1" thickBot="1"/>
    <row r="9" spans="3:80" ht="9.75" customHeight="1">
      <c r="C9" s="99" t="s">
        <v>81</v>
      </c>
      <c r="D9" s="100"/>
      <c r="E9" s="100"/>
      <c r="F9" s="100"/>
      <c r="G9" s="100"/>
      <c r="H9" s="100"/>
      <c r="I9" s="100"/>
      <c r="J9" s="100"/>
      <c r="K9" s="100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  <c r="W9" s="100"/>
      <c r="X9" s="100"/>
      <c r="Y9" s="100"/>
      <c r="Z9" s="100"/>
      <c r="AA9" s="100"/>
      <c r="AB9" s="100"/>
      <c r="AC9" s="100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0"/>
      <c r="AO9" s="100"/>
      <c r="AP9" s="100"/>
      <c r="AQ9" s="100"/>
      <c r="AR9" s="100"/>
      <c r="AS9" s="100"/>
      <c r="AT9" s="100"/>
      <c r="AU9" s="100"/>
      <c r="AV9" s="100"/>
      <c r="AW9" s="100"/>
      <c r="AX9" s="100"/>
      <c r="AY9" s="100"/>
      <c r="AZ9" s="100"/>
      <c r="BA9" s="100"/>
      <c r="BB9" s="100"/>
      <c r="BC9" s="100"/>
      <c r="BD9" s="100"/>
      <c r="BE9" s="100"/>
      <c r="BF9" s="100"/>
      <c r="BG9" s="100"/>
      <c r="BH9" s="100"/>
      <c r="BI9" s="100"/>
      <c r="BJ9" s="100"/>
      <c r="BK9" s="100"/>
      <c r="BL9" s="100"/>
      <c r="BM9" s="100"/>
      <c r="BN9" s="100"/>
      <c r="BO9" s="100"/>
      <c r="BP9" s="100"/>
      <c r="BQ9" s="100"/>
      <c r="BR9" s="100"/>
      <c r="BS9" s="100"/>
      <c r="BT9" s="100"/>
      <c r="BU9" s="100"/>
      <c r="BV9" s="100"/>
      <c r="BW9" s="100"/>
      <c r="BX9" s="100"/>
      <c r="BY9" s="100"/>
      <c r="BZ9" s="100"/>
      <c r="CA9" s="100"/>
      <c r="CB9" s="101"/>
    </row>
    <row r="10" spans="3:80" ht="9.75" customHeight="1" thickBot="1">
      <c r="C10" s="102"/>
      <c r="D10" s="103"/>
      <c r="E10" s="103"/>
      <c r="F10" s="103"/>
      <c r="G10" s="103"/>
      <c r="H10" s="103"/>
      <c r="I10" s="103"/>
      <c r="J10" s="103"/>
      <c r="K10" s="103"/>
      <c r="L10" s="103"/>
      <c r="M10" s="103"/>
      <c r="N10" s="103"/>
      <c r="O10" s="103"/>
      <c r="P10" s="103"/>
      <c r="Q10" s="103"/>
      <c r="R10" s="103"/>
      <c r="S10" s="103"/>
      <c r="T10" s="103"/>
      <c r="U10" s="103"/>
      <c r="V10" s="103"/>
      <c r="W10" s="103"/>
      <c r="X10" s="103"/>
      <c r="Y10" s="103"/>
      <c r="Z10" s="103"/>
      <c r="AA10" s="103"/>
      <c r="AB10" s="103"/>
      <c r="AC10" s="103"/>
      <c r="AD10" s="103"/>
      <c r="AE10" s="103"/>
      <c r="AF10" s="103"/>
      <c r="AG10" s="103"/>
      <c r="AH10" s="103"/>
      <c r="AI10" s="103"/>
      <c r="AJ10" s="103"/>
      <c r="AK10" s="103"/>
      <c r="AL10" s="103"/>
      <c r="AM10" s="103"/>
      <c r="AN10" s="103"/>
      <c r="AO10" s="103"/>
      <c r="AP10" s="103"/>
      <c r="AQ10" s="103"/>
      <c r="AR10" s="103"/>
      <c r="AS10" s="103"/>
      <c r="AT10" s="103"/>
      <c r="AU10" s="103"/>
      <c r="AV10" s="103"/>
      <c r="AW10" s="103"/>
      <c r="AX10" s="103"/>
      <c r="AY10" s="103"/>
      <c r="AZ10" s="103"/>
      <c r="BA10" s="103"/>
      <c r="BB10" s="103"/>
      <c r="BC10" s="103"/>
      <c r="BD10" s="103"/>
      <c r="BE10" s="103"/>
      <c r="BF10" s="103"/>
      <c r="BG10" s="103"/>
      <c r="BH10" s="103"/>
      <c r="BI10" s="103"/>
      <c r="BJ10" s="103"/>
      <c r="BK10" s="103"/>
      <c r="BL10" s="103"/>
      <c r="BM10" s="103"/>
      <c r="BN10" s="103"/>
      <c r="BO10" s="103"/>
      <c r="BP10" s="103"/>
      <c r="BQ10" s="103"/>
      <c r="BR10" s="103"/>
      <c r="BS10" s="103"/>
      <c r="BT10" s="103"/>
      <c r="BU10" s="103"/>
      <c r="BV10" s="103"/>
      <c r="BW10" s="103"/>
      <c r="BX10" s="103"/>
      <c r="BY10" s="103"/>
      <c r="BZ10" s="103"/>
      <c r="CA10" s="103"/>
      <c r="CB10" s="104"/>
    </row>
    <row r="11" spans="3:80" ht="9.75" customHeight="1">
      <c r="C11" s="123"/>
      <c r="D11" s="124"/>
      <c r="E11" s="124"/>
      <c r="F11" s="124"/>
      <c r="G11" s="124"/>
      <c r="H11" s="124"/>
      <c r="I11" s="124"/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4"/>
      <c r="AS11" s="124"/>
      <c r="AT11" s="124"/>
      <c r="AU11" s="124"/>
      <c r="AV11" s="124"/>
      <c r="AW11" s="124"/>
      <c r="AX11" s="124"/>
      <c r="AY11" s="124"/>
      <c r="AZ11" s="124"/>
      <c r="BA11" s="124"/>
      <c r="BB11" s="124"/>
      <c r="BC11" s="124"/>
      <c r="BD11" s="124"/>
      <c r="BE11" s="124"/>
      <c r="BF11" s="124"/>
      <c r="BG11" s="124"/>
      <c r="BH11" s="124"/>
      <c r="BI11" s="124"/>
      <c r="BJ11" s="124"/>
      <c r="BK11" s="124"/>
      <c r="BL11" s="124"/>
      <c r="BM11" s="124"/>
      <c r="BN11" s="124"/>
      <c r="BO11" s="124"/>
      <c r="BP11" s="124"/>
      <c r="BQ11" s="124"/>
      <c r="BR11" s="124"/>
      <c r="BS11" s="124"/>
      <c r="BT11" s="124"/>
      <c r="BU11" s="124"/>
      <c r="BV11" s="124"/>
      <c r="BW11" s="124"/>
      <c r="BX11" s="124"/>
      <c r="BY11" s="124"/>
      <c r="BZ11" s="124"/>
      <c r="CA11" s="124"/>
      <c r="CB11" s="125"/>
    </row>
    <row r="12" spans="3:80" ht="9.75" customHeight="1">
      <c r="C12" s="126"/>
      <c r="D12" s="127"/>
      <c r="E12" s="127"/>
      <c r="F12" s="127"/>
      <c r="G12" s="127"/>
      <c r="H12" s="127"/>
      <c r="I12" s="127"/>
      <c r="J12" s="127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  <c r="AA12" s="127"/>
      <c r="AB12" s="127"/>
      <c r="AC12" s="127"/>
      <c r="AD12" s="127"/>
      <c r="AE12" s="127"/>
      <c r="AF12" s="127"/>
      <c r="AG12" s="127"/>
      <c r="AH12" s="127"/>
      <c r="AI12" s="127"/>
      <c r="AJ12" s="127"/>
      <c r="AK12" s="127"/>
      <c r="AL12" s="127"/>
      <c r="AM12" s="127"/>
      <c r="AN12" s="127"/>
      <c r="AO12" s="127"/>
      <c r="AP12" s="127"/>
      <c r="AQ12" s="127"/>
      <c r="AR12" s="127"/>
      <c r="AS12" s="127"/>
      <c r="AT12" s="127"/>
      <c r="AU12" s="127"/>
      <c r="AV12" s="127"/>
      <c r="AW12" s="127"/>
      <c r="AX12" s="127"/>
      <c r="AY12" s="127"/>
      <c r="AZ12" s="127"/>
      <c r="BA12" s="127"/>
      <c r="BB12" s="127"/>
      <c r="BC12" s="127"/>
      <c r="BD12" s="127"/>
      <c r="BE12" s="127"/>
      <c r="BF12" s="127"/>
      <c r="BG12" s="127"/>
      <c r="BH12" s="127"/>
      <c r="BI12" s="127"/>
      <c r="BJ12" s="127"/>
      <c r="BK12" s="127"/>
      <c r="BL12" s="127"/>
      <c r="BM12" s="127"/>
      <c r="BN12" s="127"/>
      <c r="BO12" s="127"/>
      <c r="BP12" s="127"/>
      <c r="BQ12" s="127"/>
      <c r="BR12" s="127"/>
      <c r="BS12" s="127"/>
      <c r="BT12" s="127"/>
      <c r="BU12" s="127"/>
      <c r="BV12" s="127"/>
      <c r="BW12" s="127"/>
      <c r="BX12" s="127"/>
      <c r="BY12" s="127"/>
      <c r="BZ12" s="127"/>
      <c r="CA12" s="127"/>
      <c r="CB12" s="128"/>
    </row>
    <row r="13" spans="3:80" ht="9.75" customHeight="1">
      <c r="C13" s="126"/>
      <c r="D13" s="127"/>
      <c r="E13" s="127"/>
      <c r="F13" s="127"/>
      <c r="G13" s="127"/>
      <c r="H13" s="127"/>
      <c r="I13" s="127"/>
      <c r="J13" s="127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  <c r="AA13" s="127"/>
      <c r="AB13" s="127"/>
      <c r="AC13" s="127"/>
      <c r="AD13" s="127"/>
      <c r="AE13" s="127"/>
      <c r="AF13" s="127"/>
      <c r="AG13" s="127"/>
      <c r="AH13" s="127"/>
      <c r="AI13" s="127"/>
      <c r="AJ13" s="127"/>
      <c r="AK13" s="127"/>
      <c r="AL13" s="127"/>
      <c r="AM13" s="127"/>
      <c r="AN13" s="127"/>
      <c r="AO13" s="127"/>
      <c r="AP13" s="127"/>
      <c r="AQ13" s="127"/>
      <c r="AR13" s="127"/>
      <c r="AS13" s="127"/>
      <c r="AT13" s="127"/>
      <c r="AU13" s="127"/>
      <c r="AV13" s="127"/>
      <c r="AW13" s="127"/>
      <c r="AX13" s="127"/>
      <c r="AY13" s="127"/>
      <c r="AZ13" s="127"/>
      <c r="BA13" s="127"/>
      <c r="BB13" s="127"/>
      <c r="BC13" s="127"/>
      <c r="BD13" s="127"/>
      <c r="BE13" s="127"/>
      <c r="BF13" s="127"/>
      <c r="BG13" s="127"/>
      <c r="BH13" s="127"/>
      <c r="BI13" s="127"/>
      <c r="BJ13" s="127"/>
      <c r="BK13" s="127"/>
      <c r="BL13" s="127"/>
      <c r="BM13" s="127"/>
      <c r="BN13" s="127"/>
      <c r="BO13" s="127"/>
      <c r="BP13" s="127"/>
      <c r="BQ13" s="127"/>
      <c r="BR13" s="127"/>
      <c r="BS13" s="127"/>
      <c r="BT13" s="127"/>
      <c r="BU13" s="127"/>
      <c r="BV13" s="127"/>
      <c r="BW13" s="127"/>
      <c r="BX13" s="127"/>
      <c r="BY13" s="127"/>
      <c r="BZ13" s="127"/>
      <c r="CA13" s="127"/>
      <c r="CB13" s="128"/>
    </row>
    <row r="14" spans="3:80" ht="9.75" customHeight="1">
      <c r="C14" s="126"/>
      <c r="D14" s="127"/>
      <c r="E14" s="127"/>
      <c r="F14" s="127"/>
      <c r="G14" s="127"/>
      <c r="H14" s="127"/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  <c r="AD14" s="127"/>
      <c r="AE14" s="127"/>
      <c r="AF14" s="127"/>
      <c r="AG14" s="127"/>
      <c r="AH14" s="127"/>
      <c r="AI14" s="127"/>
      <c r="AJ14" s="127"/>
      <c r="AK14" s="127"/>
      <c r="AL14" s="127"/>
      <c r="AM14" s="127"/>
      <c r="AN14" s="127"/>
      <c r="AO14" s="127"/>
      <c r="AP14" s="127"/>
      <c r="AQ14" s="127"/>
      <c r="AR14" s="127"/>
      <c r="AS14" s="127"/>
      <c r="AT14" s="127"/>
      <c r="AU14" s="127"/>
      <c r="AV14" s="127"/>
      <c r="AW14" s="127"/>
      <c r="AX14" s="127"/>
      <c r="AY14" s="127"/>
      <c r="AZ14" s="127"/>
      <c r="BA14" s="127"/>
      <c r="BB14" s="127"/>
      <c r="BC14" s="127"/>
      <c r="BD14" s="127"/>
      <c r="BE14" s="127"/>
      <c r="BF14" s="127"/>
      <c r="BG14" s="127"/>
      <c r="BH14" s="127"/>
      <c r="BI14" s="127"/>
      <c r="BJ14" s="127"/>
      <c r="BK14" s="127"/>
      <c r="BL14" s="127"/>
      <c r="BM14" s="127"/>
      <c r="BN14" s="127"/>
      <c r="BO14" s="127"/>
      <c r="BP14" s="127"/>
      <c r="BQ14" s="127"/>
      <c r="BR14" s="127"/>
      <c r="BS14" s="127"/>
      <c r="BT14" s="127"/>
      <c r="BU14" s="127"/>
      <c r="BV14" s="127"/>
      <c r="BW14" s="127"/>
      <c r="BX14" s="127"/>
      <c r="BY14" s="127"/>
      <c r="BZ14" s="127"/>
      <c r="CA14" s="127"/>
      <c r="CB14" s="128"/>
    </row>
    <row r="15" spans="3:80" ht="9.75" customHeight="1">
      <c r="C15" s="126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  <c r="AA15" s="127"/>
      <c r="AB15" s="127"/>
      <c r="AC15" s="127"/>
      <c r="AD15" s="127"/>
      <c r="AE15" s="127"/>
      <c r="AF15" s="127"/>
      <c r="AG15" s="127"/>
      <c r="AH15" s="127"/>
      <c r="AI15" s="127"/>
      <c r="AJ15" s="127"/>
      <c r="AK15" s="127"/>
      <c r="AL15" s="127"/>
      <c r="AM15" s="127"/>
      <c r="AN15" s="127"/>
      <c r="AO15" s="127"/>
      <c r="AP15" s="127"/>
      <c r="AQ15" s="127"/>
      <c r="AR15" s="127"/>
      <c r="AS15" s="127"/>
      <c r="AT15" s="127"/>
      <c r="AU15" s="127"/>
      <c r="AV15" s="127"/>
      <c r="AW15" s="127"/>
      <c r="AX15" s="127"/>
      <c r="AY15" s="127"/>
      <c r="AZ15" s="127"/>
      <c r="BA15" s="127"/>
      <c r="BB15" s="127"/>
      <c r="BC15" s="127"/>
      <c r="BD15" s="127"/>
      <c r="BE15" s="127"/>
      <c r="BF15" s="127"/>
      <c r="BG15" s="127"/>
      <c r="BH15" s="127"/>
      <c r="BI15" s="127"/>
      <c r="BJ15" s="127"/>
      <c r="BK15" s="127"/>
      <c r="BL15" s="127"/>
      <c r="BM15" s="127"/>
      <c r="BN15" s="127"/>
      <c r="BO15" s="127"/>
      <c r="BP15" s="127"/>
      <c r="BQ15" s="127"/>
      <c r="BR15" s="127"/>
      <c r="BS15" s="127"/>
      <c r="BT15" s="127"/>
      <c r="BU15" s="127"/>
      <c r="BV15" s="127"/>
      <c r="BW15" s="127"/>
      <c r="BX15" s="127"/>
      <c r="BY15" s="127"/>
      <c r="BZ15" s="127"/>
      <c r="CA15" s="127"/>
      <c r="CB15" s="128"/>
    </row>
    <row r="16" spans="3:80" ht="9.75" customHeight="1">
      <c r="C16" s="126"/>
      <c r="D16" s="127"/>
      <c r="E16" s="127"/>
      <c r="F16" s="127"/>
      <c r="G16" s="127"/>
      <c r="H16" s="127"/>
      <c r="I16" s="127"/>
      <c r="J16" s="127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  <c r="AA16" s="127"/>
      <c r="AB16" s="127"/>
      <c r="AC16" s="127"/>
      <c r="AD16" s="127"/>
      <c r="AE16" s="127"/>
      <c r="AF16" s="127"/>
      <c r="AG16" s="127"/>
      <c r="AH16" s="127"/>
      <c r="AI16" s="127"/>
      <c r="AJ16" s="127"/>
      <c r="AK16" s="127"/>
      <c r="AL16" s="127"/>
      <c r="AM16" s="127"/>
      <c r="AN16" s="127"/>
      <c r="AO16" s="127"/>
      <c r="AP16" s="127"/>
      <c r="AQ16" s="127"/>
      <c r="AR16" s="127"/>
      <c r="AS16" s="127"/>
      <c r="AT16" s="127"/>
      <c r="AU16" s="127"/>
      <c r="AV16" s="127"/>
      <c r="AW16" s="127"/>
      <c r="AX16" s="127"/>
      <c r="AY16" s="127"/>
      <c r="AZ16" s="127"/>
      <c r="BA16" s="127"/>
      <c r="BB16" s="127"/>
      <c r="BC16" s="127"/>
      <c r="BD16" s="127"/>
      <c r="BE16" s="127"/>
      <c r="BF16" s="127"/>
      <c r="BG16" s="127"/>
      <c r="BH16" s="127"/>
      <c r="BI16" s="127"/>
      <c r="BJ16" s="127"/>
      <c r="BK16" s="127"/>
      <c r="BL16" s="127"/>
      <c r="BM16" s="127"/>
      <c r="BN16" s="127"/>
      <c r="BO16" s="127"/>
      <c r="BP16" s="127"/>
      <c r="BQ16" s="127"/>
      <c r="BR16" s="127"/>
      <c r="BS16" s="127"/>
      <c r="BT16" s="127"/>
      <c r="BU16" s="127"/>
      <c r="BV16" s="127"/>
      <c r="BW16" s="127"/>
      <c r="BX16" s="127"/>
      <c r="BY16" s="127"/>
      <c r="BZ16" s="127"/>
      <c r="CA16" s="127"/>
      <c r="CB16" s="128"/>
    </row>
    <row r="17" spans="3:80" ht="9.75" customHeight="1">
      <c r="C17" s="126"/>
      <c r="D17" s="127"/>
      <c r="E17" s="127"/>
      <c r="F17" s="127"/>
      <c r="G17" s="127"/>
      <c r="H17" s="127"/>
      <c r="I17" s="127"/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  <c r="AA17" s="127"/>
      <c r="AB17" s="127"/>
      <c r="AC17" s="127"/>
      <c r="AD17" s="127"/>
      <c r="AE17" s="127"/>
      <c r="AF17" s="127"/>
      <c r="AG17" s="127"/>
      <c r="AH17" s="127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8"/>
    </row>
    <row r="18" spans="3:80" ht="9.75" customHeight="1">
      <c r="C18" s="126"/>
      <c r="D18" s="127"/>
      <c r="E18" s="127"/>
      <c r="F18" s="127"/>
      <c r="G18" s="127"/>
      <c r="H18" s="127"/>
      <c r="I18" s="127"/>
      <c r="J18" s="12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  <c r="AA18" s="127"/>
      <c r="AB18" s="127"/>
      <c r="AC18" s="127"/>
      <c r="AD18" s="127"/>
      <c r="AE18" s="127"/>
      <c r="AF18" s="127"/>
      <c r="AG18" s="127"/>
      <c r="AH18" s="127"/>
      <c r="AI18" s="127"/>
      <c r="AJ18" s="127"/>
      <c r="AK18" s="127"/>
      <c r="AL18" s="127"/>
      <c r="AM18" s="127"/>
      <c r="AN18" s="127"/>
      <c r="AO18" s="127"/>
      <c r="AP18" s="127"/>
      <c r="AQ18" s="127"/>
      <c r="AR18" s="127"/>
      <c r="AS18" s="127"/>
      <c r="AT18" s="127"/>
      <c r="AU18" s="127"/>
      <c r="AV18" s="127"/>
      <c r="AW18" s="127"/>
      <c r="AX18" s="127"/>
      <c r="AY18" s="127"/>
      <c r="AZ18" s="127"/>
      <c r="BA18" s="127"/>
      <c r="BB18" s="127"/>
      <c r="BC18" s="127"/>
      <c r="BD18" s="127"/>
      <c r="BE18" s="127"/>
      <c r="BF18" s="127"/>
      <c r="BG18" s="127"/>
      <c r="BH18" s="127"/>
      <c r="BI18" s="127"/>
      <c r="BJ18" s="127"/>
      <c r="BK18" s="127"/>
      <c r="BL18" s="127"/>
      <c r="BM18" s="127"/>
      <c r="BN18" s="127"/>
      <c r="BO18" s="127"/>
      <c r="BP18" s="127"/>
      <c r="BQ18" s="127"/>
      <c r="BR18" s="127"/>
      <c r="BS18" s="127"/>
      <c r="BT18" s="127"/>
      <c r="BU18" s="127"/>
      <c r="BV18" s="127"/>
      <c r="BW18" s="127"/>
      <c r="BX18" s="127"/>
      <c r="BY18" s="127"/>
      <c r="BZ18" s="127"/>
      <c r="CA18" s="127"/>
      <c r="CB18" s="128"/>
    </row>
    <row r="19" spans="3:80" ht="9.75" customHeight="1">
      <c r="C19" s="126"/>
      <c r="D19" s="127"/>
      <c r="E19" s="127"/>
      <c r="F19" s="127"/>
      <c r="G19" s="127"/>
      <c r="H19" s="127"/>
      <c r="I19" s="127"/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27"/>
      <c r="AC19" s="127"/>
      <c r="AD19" s="127"/>
      <c r="AE19" s="127"/>
      <c r="AF19" s="127"/>
      <c r="AG19" s="127"/>
      <c r="AH19" s="127"/>
      <c r="AI19" s="127"/>
      <c r="AJ19" s="127"/>
      <c r="AK19" s="127"/>
      <c r="AL19" s="127"/>
      <c r="AM19" s="127"/>
      <c r="AN19" s="127"/>
      <c r="AO19" s="127"/>
      <c r="AP19" s="127"/>
      <c r="AQ19" s="127"/>
      <c r="AR19" s="127"/>
      <c r="AS19" s="127"/>
      <c r="AT19" s="127"/>
      <c r="AU19" s="127"/>
      <c r="AV19" s="127"/>
      <c r="AW19" s="127"/>
      <c r="AX19" s="127"/>
      <c r="AY19" s="127"/>
      <c r="AZ19" s="127"/>
      <c r="BA19" s="127"/>
      <c r="BB19" s="127"/>
      <c r="BC19" s="127"/>
      <c r="BD19" s="127"/>
      <c r="BE19" s="127"/>
      <c r="BF19" s="127"/>
      <c r="BG19" s="127"/>
      <c r="BH19" s="127"/>
      <c r="BI19" s="127"/>
      <c r="BJ19" s="127"/>
      <c r="BK19" s="127"/>
      <c r="BL19" s="127"/>
      <c r="BM19" s="127"/>
      <c r="BN19" s="127"/>
      <c r="BO19" s="127"/>
      <c r="BP19" s="127"/>
      <c r="BQ19" s="127"/>
      <c r="BR19" s="127"/>
      <c r="BS19" s="127"/>
      <c r="BT19" s="127"/>
      <c r="BU19" s="127"/>
      <c r="BV19" s="127"/>
      <c r="BW19" s="127"/>
      <c r="BX19" s="127"/>
      <c r="BY19" s="127"/>
      <c r="BZ19" s="127"/>
      <c r="CA19" s="127"/>
      <c r="CB19" s="128"/>
    </row>
    <row r="20" spans="3:80" ht="9.75" customHeight="1">
      <c r="C20" s="126"/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  <c r="AA20" s="127"/>
      <c r="AB20" s="127"/>
      <c r="AC20" s="127"/>
      <c r="AD20" s="127"/>
      <c r="AE20" s="127"/>
      <c r="AF20" s="127"/>
      <c r="AG20" s="127"/>
      <c r="AH20" s="127"/>
      <c r="AI20" s="127"/>
      <c r="AJ20" s="127"/>
      <c r="AK20" s="127"/>
      <c r="AL20" s="127"/>
      <c r="AM20" s="127"/>
      <c r="AN20" s="127"/>
      <c r="AO20" s="127"/>
      <c r="AP20" s="127"/>
      <c r="AQ20" s="127"/>
      <c r="AR20" s="127"/>
      <c r="AS20" s="127"/>
      <c r="AT20" s="127"/>
      <c r="AU20" s="127"/>
      <c r="AV20" s="127"/>
      <c r="AW20" s="127"/>
      <c r="AX20" s="127"/>
      <c r="AY20" s="127"/>
      <c r="AZ20" s="127"/>
      <c r="BA20" s="127"/>
      <c r="BB20" s="127"/>
      <c r="BC20" s="127"/>
      <c r="BD20" s="127"/>
      <c r="BE20" s="127"/>
      <c r="BF20" s="127"/>
      <c r="BG20" s="127"/>
      <c r="BH20" s="127"/>
      <c r="BI20" s="127"/>
      <c r="BJ20" s="127"/>
      <c r="BK20" s="127"/>
      <c r="BL20" s="127"/>
      <c r="BM20" s="127"/>
      <c r="BN20" s="127"/>
      <c r="BO20" s="127"/>
      <c r="BP20" s="127"/>
      <c r="BQ20" s="127"/>
      <c r="BR20" s="127"/>
      <c r="BS20" s="127"/>
      <c r="BT20" s="127"/>
      <c r="BU20" s="127"/>
      <c r="BV20" s="127"/>
      <c r="BW20" s="127"/>
      <c r="BX20" s="127"/>
      <c r="BY20" s="127"/>
      <c r="BZ20" s="127"/>
      <c r="CA20" s="127"/>
      <c r="CB20" s="128"/>
    </row>
    <row r="21" spans="3:80" ht="9.75" customHeight="1">
      <c r="C21" s="126"/>
      <c r="D21" s="127"/>
      <c r="E21" s="127"/>
      <c r="F21" s="127"/>
      <c r="G21" s="127"/>
      <c r="H21" s="127"/>
      <c r="I21" s="127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  <c r="AA21" s="127"/>
      <c r="AB21" s="127"/>
      <c r="AC21" s="127"/>
      <c r="AD21" s="127"/>
      <c r="AE21" s="127"/>
      <c r="AF21" s="127"/>
      <c r="AG21" s="127"/>
      <c r="AH21" s="127"/>
      <c r="AI21" s="127"/>
      <c r="AJ21" s="127"/>
      <c r="AK21" s="127"/>
      <c r="AL21" s="127"/>
      <c r="AM21" s="127"/>
      <c r="AN21" s="127"/>
      <c r="AO21" s="127"/>
      <c r="AP21" s="127"/>
      <c r="AQ21" s="127"/>
      <c r="AR21" s="127"/>
      <c r="AS21" s="127"/>
      <c r="AT21" s="127"/>
      <c r="AU21" s="127"/>
      <c r="AV21" s="127"/>
      <c r="AW21" s="127"/>
      <c r="AX21" s="127"/>
      <c r="AY21" s="127"/>
      <c r="AZ21" s="127"/>
      <c r="BA21" s="127"/>
      <c r="BB21" s="127"/>
      <c r="BC21" s="127"/>
      <c r="BD21" s="127"/>
      <c r="BE21" s="127"/>
      <c r="BF21" s="127"/>
      <c r="BG21" s="127"/>
      <c r="BH21" s="127"/>
      <c r="BI21" s="127"/>
      <c r="BJ21" s="127"/>
      <c r="BK21" s="127"/>
      <c r="BL21" s="127"/>
      <c r="BM21" s="127"/>
      <c r="BN21" s="127"/>
      <c r="BO21" s="127"/>
      <c r="BP21" s="127"/>
      <c r="BQ21" s="127"/>
      <c r="BR21" s="127"/>
      <c r="BS21" s="127"/>
      <c r="BT21" s="127"/>
      <c r="BU21" s="127"/>
      <c r="BV21" s="127"/>
      <c r="BW21" s="127"/>
      <c r="BX21" s="127"/>
      <c r="BY21" s="127"/>
      <c r="BZ21" s="127"/>
      <c r="CA21" s="127"/>
      <c r="CB21" s="128"/>
    </row>
    <row r="22" spans="3:80" ht="9.75" customHeight="1">
      <c r="C22" s="126"/>
      <c r="D22" s="127"/>
      <c r="E22" s="127"/>
      <c r="F22" s="127"/>
      <c r="G22" s="127"/>
      <c r="H22" s="127"/>
      <c r="I22" s="127"/>
      <c r="J22" s="127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  <c r="AA22" s="127"/>
      <c r="AB22" s="127"/>
      <c r="AC22" s="127"/>
      <c r="AD22" s="127"/>
      <c r="AE22" s="127"/>
      <c r="AF22" s="127"/>
      <c r="AG22" s="127"/>
      <c r="AH22" s="127"/>
      <c r="AI22" s="127"/>
      <c r="AJ22" s="127"/>
      <c r="AK22" s="127"/>
      <c r="AL22" s="127"/>
      <c r="AM22" s="127"/>
      <c r="AN22" s="127"/>
      <c r="AO22" s="127"/>
      <c r="AP22" s="127"/>
      <c r="AQ22" s="127"/>
      <c r="AR22" s="127"/>
      <c r="AS22" s="127"/>
      <c r="AT22" s="127"/>
      <c r="AU22" s="127"/>
      <c r="AV22" s="127"/>
      <c r="AW22" s="127"/>
      <c r="AX22" s="127"/>
      <c r="AY22" s="127"/>
      <c r="AZ22" s="127"/>
      <c r="BA22" s="127"/>
      <c r="BB22" s="127"/>
      <c r="BC22" s="127"/>
      <c r="BD22" s="127"/>
      <c r="BE22" s="127"/>
      <c r="BF22" s="127"/>
      <c r="BG22" s="127"/>
      <c r="BH22" s="127"/>
      <c r="BI22" s="127"/>
      <c r="BJ22" s="127"/>
      <c r="BK22" s="127"/>
      <c r="BL22" s="127"/>
      <c r="BM22" s="127"/>
      <c r="BN22" s="127"/>
      <c r="BO22" s="127"/>
      <c r="BP22" s="127"/>
      <c r="BQ22" s="127"/>
      <c r="BR22" s="127"/>
      <c r="BS22" s="127"/>
      <c r="BT22" s="127"/>
      <c r="BU22" s="127"/>
      <c r="BV22" s="127"/>
      <c r="BW22" s="127"/>
      <c r="BX22" s="127"/>
      <c r="BY22" s="127"/>
      <c r="BZ22" s="127"/>
      <c r="CA22" s="127"/>
      <c r="CB22" s="128"/>
    </row>
    <row r="23" spans="3:80" ht="9.75" customHeight="1">
      <c r="C23" s="126"/>
      <c r="D23" s="127"/>
      <c r="E23" s="127"/>
      <c r="F23" s="127"/>
      <c r="G23" s="127"/>
      <c r="H23" s="127"/>
      <c r="I23" s="127"/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  <c r="AA23" s="127"/>
      <c r="AB23" s="127"/>
      <c r="AC23" s="127"/>
      <c r="AD23" s="127"/>
      <c r="AE23" s="127"/>
      <c r="AF23" s="127"/>
      <c r="AG23" s="127"/>
      <c r="AH23" s="127"/>
      <c r="AI23" s="127"/>
      <c r="AJ23" s="127"/>
      <c r="AK23" s="127"/>
      <c r="AL23" s="127"/>
      <c r="AM23" s="127"/>
      <c r="AN23" s="127"/>
      <c r="AO23" s="127"/>
      <c r="AP23" s="127"/>
      <c r="AQ23" s="127"/>
      <c r="AR23" s="127"/>
      <c r="AS23" s="127"/>
      <c r="AT23" s="127"/>
      <c r="AU23" s="127"/>
      <c r="AV23" s="127"/>
      <c r="AW23" s="127"/>
      <c r="AX23" s="127"/>
      <c r="AY23" s="127"/>
      <c r="AZ23" s="127"/>
      <c r="BA23" s="127"/>
      <c r="BB23" s="127"/>
      <c r="BC23" s="127"/>
      <c r="BD23" s="127"/>
      <c r="BE23" s="127"/>
      <c r="BF23" s="127"/>
      <c r="BG23" s="127"/>
      <c r="BH23" s="127"/>
      <c r="BI23" s="127"/>
      <c r="BJ23" s="127"/>
      <c r="BK23" s="127"/>
      <c r="BL23" s="127"/>
      <c r="BM23" s="127"/>
      <c r="BN23" s="127"/>
      <c r="BO23" s="127"/>
      <c r="BP23" s="127"/>
      <c r="BQ23" s="127"/>
      <c r="BR23" s="127"/>
      <c r="BS23" s="127"/>
      <c r="BT23" s="127"/>
      <c r="BU23" s="127"/>
      <c r="BV23" s="127"/>
      <c r="BW23" s="127"/>
      <c r="BX23" s="127"/>
      <c r="BY23" s="127"/>
      <c r="BZ23" s="127"/>
      <c r="CA23" s="127"/>
      <c r="CB23" s="128"/>
    </row>
    <row r="24" spans="3:80" ht="9.75" customHeight="1" thickBot="1">
      <c r="C24" s="129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  <c r="AA24" s="130"/>
      <c r="AB24" s="130"/>
      <c r="AC24" s="130"/>
      <c r="AD24" s="130"/>
      <c r="AE24" s="130"/>
      <c r="AF24" s="130"/>
      <c r="AG24" s="130"/>
      <c r="AH24" s="130"/>
      <c r="AI24" s="130"/>
      <c r="AJ24" s="130"/>
      <c r="AK24" s="130"/>
      <c r="AL24" s="130"/>
      <c r="AM24" s="130"/>
      <c r="AN24" s="130"/>
      <c r="AO24" s="130"/>
      <c r="AP24" s="130"/>
      <c r="AQ24" s="130"/>
      <c r="AR24" s="130"/>
      <c r="AS24" s="130"/>
      <c r="AT24" s="130"/>
      <c r="AU24" s="130"/>
      <c r="AV24" s="130"/>
      <c r="AW24" s="130"/>
      <c r="AX24" s="130"/>
      <c r="AY24" s="130"/>
      <c r="AZ24" s="130"/>
      <c r="BA24" s="130"/>
      <c r="BB24" s="130"/>
      <c r="BC24" s="130"/>
      <c r="BD24" s="130"/>
      <c r="BE24" s="130"/>
      <c r="BF24" s="130"/>
      <c r="BG24" s="130"/>
      <c r="BH24" s="130"/>
      <c r="BI24" s="130"/>
      <c r="BJ24" s="130"/>
      <c r="BK24" s="130"/>
      <c r="BL24" s="130"/>
      <c r="BM24" s="130"/>
      <c r="BN24" s="130"/>
      <c r="BO24" s="130"/>
      <c r="BP24" s="130"/>
      <c r="BQ24" s="130"/>
      <c r="BR24" s="130"/>
      <c r="BS24" s="130"/>
      <c r="BT24" s="130"/>
      <c r="BU24" s="130"/>
      <c r="BV24" s="130"/>
      <c r="BW24" s="130"/>
      <c r="BX24" s="130"/>
      <c r="BY24" s="130"/>
      <c r="BZ24" s="130"/>
      <c r="CA24" s="130"/>
      <c r="CB24" s="131"/>
    </row>
    <row r="25" spans="3:80" ht="9.75" customHeight="1" thickBot="1"/>
    <row r="26" spans="3:80" ht="9.75" customHeight="1">
      <c r="C26" s="99" t="s">
        <v>82</v>
      </c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  <c r="AC26" s="100"/>
      <c r="AD26" s="100"/>
      <c r="AE26" s="100"/>
      <c r="AF26" s="100"/>
      <c r="AG26" s="100"/>
      <c r="AH26" s="100"/>
      <c r="AI26" s="100"/>
      <c r="AJ26" s="100"/>
      <c r="AK26" s="100"/>
      <c r="AL26" s="100"/>
      <c r="AM26" s="100"/>
      <c r="AN26" s="101"/>
      <c r="AO26" s="12"/>
      <c r="AP26" s="12"/>
      <c r="AQ26" s="99" t="s">
        <v>83</v>
      </c>
      <c r="AR26" s="100"/>
      <c r="AS26" s="100"/>
      <c r="AT26" s="100"/>
      <c r="AU26" s="100"/>
      <c r="AV26" s="100"/>
      <c r="AW26" s="100"/>
      <c r="AX26" s="100"/>
      <c r="AY26" s="100"/>
      <c r="AZ26" s="100"/>
      <c r="BA26" s="100"/>
      <c r="BB26" s="100"/>
      <c r="BC26" s="100"/>
      <c r="BD26" s="100"/>
      <c r="BE26" s="100"/>
      <c r="BF26" s="100"/>
      <c r="BG26" s="100"/>
      <c r="BH26" s="100"/>
      <c r="BI26" s="100"/>
      <c r="BJ26" s="100"/>
      <c r="BK26" s="100"/>
      <c r="BL26" s="100"/>
      <c r="BM26" s="100"/>
      <c r="BN26" s="100"/>
      <c r="BO26" s="100"/>
      <c r="BP26" s="100"/>
      <c r="BQ26" s="100"/>
      <c r="BR26" s="100"/>
      <c r="BS26" s="100"/>
      <c r="BT26" s="100"/>
      <c r="BU26" s="100"/>
      <c r="BV26" s="100"/>
      <c r="BW26" s="100"/>
      <c r="BX26" s="100"/>
      <c r="BY26" s="100"/>
      <c r="BZ26" s="100"/>
      <c r="CA26" s="100"/>
      <c r="CB26" s="101"/>
    </row>
    <row r="27" spans="3:80" ht="9.75" customHeight="1" thickBot="1">
      <c r="C27" s="102"/>
      <c r="D27" s="103"/>
      <c r="E27" s="103"/>
      <c r="F27" s="103"/>
      <c r="G27" s="103"/>
      <c r="H27" s="103"/>
      <c r="I27" s="103"/>
      <c r="J27" s="103"/>
      <c r="K27" s="103"/>
      <c r="L27" s="103"/>
      <c r="M27" s="103"/>
      <c r="N27" s="103"/>
      <c r="O27" s="103"/>
      <c r="P27" s="103"/>
      <c r="Q27" s="103"/>
      <c r="R27" s="103"/>
      <c r="S27" s="103"/>
      <c r="T27" s="103"/>
      <c r="U27" s="103"/>
      <c r="V27" s="103"/>
      <c r="W27" s="103"/>
      <c r="X27" s="103"/>
      <c r="Y27" s="103"/>
      <c r="Z27" s="103"/>
      <c r="AA27" s="103"/>
      <c r="AB27" s="103"/>
      <c r="AC27" s="103"/>
      <c r="AD27" s="103"/>
      <c r="AE27" s="103"/>
      <c r="AF27" s="103"/>
      <c r="AG27" s="103"/>
      <c r="AH27" s="103"/>
      <c r="AI27" s="103"/>
      <c r="AJ27" s="103"/>
      <c r="AK27" s="103"/>
      <c r="AL27" s="103"/>
      <c r="AM27" s="103"/>
      <c r="AN27" s="104"/>
      <c r="AO27" s="12"/>
      <c r="AP27" s="12"/>
      <c r="AQ27" s="102"/>
      <c r="AR27" s="103"/>
      <c r="AS27" s="103"/>
      <c r="AT27" s="103"/>
      <c r="AU27" s="103"/>
      <c r="AV27" s="103"/>
      <c r="AW27" s="103"/>
      <c r="AX27" s="103"/>
      <c r="AY27" s="103"/>
      <c r="AZ27" s="103"/>
      <c r="BA27" s="103"/>
      <c r="BB27" s="103"/>
      <c r="BC27" s="103"/>
      <c r="BD27" s="103"/>
      <c r="BE27" s="103"/>
      <c r="BF27" s="103"/>
      <c r="BG27" s="103"/>
      <c r="BH27" s="103"/>
      <c r="BI27" s="103"/>
      <c r="BJ27" s="103"/>
      <c r="BK27" s="103"/>
      <c r="BL27" s="103"/>
      <c r="BM27" s="103"/>
      <c r="BN27" s="103"/>
      <c r="BO27" s="103"/>
      <c r="BP27" s="103"/>
      <c r="BQ27" s="103"/>
      <c r="BR27" s="103"/>
      <c r="BS27" s="103"/>
      <c r="BT27" s="103"/>
      <c r="BU27" s="103"/>
      <c r="BV27" s="103"/>
      <c r="BW27" s="103"/>
      <c r="BX27" s="103"/>
      <c r="BY27" s="103"/>
      <c r="BZ27" s="103"/>
      <c r="CA27" s="103"/>
      <c r="CB27" s="104"/>
    </row>
    <row r="28" spans="3:80" ht="9.75" customHeight="1">
      <c r="C28" s="123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E28" s="124"/>
      <c r="AF28" s="124"/>
      <c r="AG28" s="124"/>
      <c r="AH28" s="124"/>
      <c r="AI28" s="124"/>
      <c r="AJ28" s="124"/>
      <c r="AK28" s="124"/>
      <c r="AL28" s="124"/>
      <c r="AM28" s="124"/>
      <c r="AN28" s="125"/>
      <c r="AQ28" s="123"/>
      <c r="AR28" s="124"/>
      <c r="AS28" s="124"/>
      <c r="AT28" s="124"/>
      <c r="AU28" s="124"/>
      <c r="AV28" s="124"/>
      <c r="AW28" s="124"/>
      <c r="AX28" s="124"/>
      <c r="AY28" s="124"/>
      <c r="AZ28" s="124"/>
      <c r="BA28" s="124"/>
      <c r="BB28" s="124"/>
      <c r="BC28" s="124"/>
      <c r="BD28" s="124"/>
      <c r="BE28" s="124"/>
      <c r="BF28" s="124"/>
      <c r="BG28" s="124"/>
      <c r="BH28" s="124"/>
      <c r="BI28" s="124"/>
      <c r="BJ28" s="124"/>
      <c r="BK28" s="124"/>
      <c r="BL28" s="124"/>
      <c r="BM28" s="124"/>
      <c r="BN28" s="124"/>
      <c r="BO28" s="124"/>
      <c r="BP28" s="124"/>
      <c r="BQ28" s="124"/>
      <c r="BR28" s="124"/>
      <c r="BS28" s="124"/>
      <c r="BT28" s="124"/>
      <c r="BU28" s="124"/>
      <c r="BV28" s="124"/>
      <c r="BW28" s="124"/>
      <c r="BX28" s="124"/>
      <c r="BY28" s="124"/>
      <c r="BZ28" s="124"/>
      <c r="CA28" s="124"/>
      <c r="CB28" s="125"/>
    </row>
    <row r="29" spans="3:80" ht="9.75" customHeight="1">
      <c r="C29" s="126"/>
      <c r="D29" s="127"/>
      <c r="E29" s="127"/>
      <c r="F29" s="127"/>
      <c r="G29" s="127"/>
      <c r="H29" s="127"/>
      <c r="I29" s="127"/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  <c r="AA29" s="127"/>
      <c r="AB29" s="127"/>
      <c r="AC29" s="127"/>
      <c r="AD29" s="127"/>
      <c r="AE29" s="127"/>
      <c r="AF29" s="127"/>
      <c r="AG29" s="127"/>
      <c r="AH29" s="127"/>
      <c r="AI29" s="127"/>
      <c r="AJ29" s="127"/>
      <c r="AK29" s="127"/>
      <c r="AL29" s="127"/>
      <c r="AM29" s="127"/>
      <c r="AN29" s="128"/>
      <c r="AQ29" s="126"/>
      <c r="AR29" s="127"/>
      <c r="AS29" s="127"/>
      <c r="AT29" s="127"/>
      <c r="AU29" s="127"/>
      <c r="AV29" s="127"/>
      <c r="AW29" s="127"/>
      <c r="AX29" s="127"/>
      <c r="AY29" s="127"/>
      <c r="AZ29" s="127"/>
      <c r="BA29" s="127"/>
      <c r="BB29" s="127"/>
      <c r="BC29" s="127"/>
      <c r="BD29" s="127"/>
      <c r="BE29" s="127"/>
      <c r="BF29" s="127"/>
      <c r="BG29" s="127"/>
      <c r="BH29" s="127"/>
      <c r="BI29" s="127"/>
      <c r="BJ29" s="127"/>
      <c r="BK29" s="127"/>
      <c r="BL29" s="127"/>
      <c r="BM29" s="127"/>
      <c r="BN29" s="127"/>
      <c r="BO29" s="127"/>
      <c r="BP29" s="127"/>
      <c r="BQ29" s="127"/>
      <c r="BR29" s="127"/>
      <c r="BS29" s="127"/>
      <c r="BT29" s="127"/>
      <c r="BU29" s="127"/>
      <c r="BV29" s="127"/>
      <c r="BW29" s="127"/>
      <c r="BX29" s="127"/>
      <c r="BY29" s="127"/>
      <c r="BZ29" s="127"/>
      <c r="CA29" s="127"/>
      <c r="CB29" s="128"/>
    </row>
    <row r="30" spans="3:80" ht="9.75" customHeight="1">
      <c r="C30" s="126"/>
      <c r="D30" s="127"/>
      <c r="E30" s="127"/>
      <c r="F30" s="127"/>
      <c r="G30" s="127"/>
      <c r="H30" s="127"/>
      <c r="I30" s="127"/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  <c r="AA30" s="127"/>
      <c r="AB30" s="127"/>
      <c r="AC30" s="127"/>
      <c r="AD30" s="127"/>
      <c r="AE30" s="127"/>
      <c r="AF30" s="127"/>
      <c r="AG30" s="127"/>
      <c r="AH30" s="127"/>
      <c r="AI30" s="127"/>
      <c r="AJ30" s="127"/>
      <c r="AK30" s="127"/>
      <c r="AL30" s="127"/>
      <c r="AM30" s="127"/>
      <c r="AN30" s="128"/>
      <c r="AQ30" s="126"/>
      <c r="AR30" s="127"/>
      <c r="AS30" s="127"/>
      <c r="AT30" s="127"/>
      <c r="AU30" s="127"/>
      <c r="AV30" s="127"/>
      <c r="AW30" s="127"/>
      <c r="AX30" s="127"/>
      <c r="AY30" s="127"/>
      <c r="AZ30" s="127"/>
      <c r="BA30" s="127"/>
      <c r="BB30" s="127"/>
      <c r="BC30" s="127"/>
      <c r="BD30" s="127"/>
      <c r="BE30" s="127"/>
      <c r="BF30" s="127"/>
      <c r="BG30" s="127"/>
      <c r="BH30" s="127"/>
      <c r="BI30" s="127"/>
      <c r="BJ30" s="127"/>
      <c r="BK30" s="127"/>
      <c r="BL30" s="127"/>
      <c r="BM30" s="127"/>
      <c r="BN30" s="127"/>
      <c r="BO30" s="127"/>
      <c r="BP30" s="127"/>
      <c r="BQ30" s="127"/>
      <c r="BR30" s="127"/>
      <c r="BS30" s="127"/>
      <c r="BT30" s="127"/>
      <c r="BU30" s="127"/>
      <c r="BV30" s="127"/>
      <c r="BW30" s="127"/>
      <c r="BX30" s="127"/>
      <c r="BY30" s="127"/>
      <c r="BZ30" s="127"/>
      <c r="CA30" s="127"/>
      <c r="CB30" s="128"/>
    </row>
    <row r="31" spans="3:80" ht="9.75" customHeight="1">
      <c r="C31" s="126"/>
      <c r="D31" s="127"/>
      <c r="E31" s="127"/>
      <c r="F31" s="127"/>
      <c r="G31" s="127"/>
      <c r="H31" s="127"/>
      <c r="I31" s="127"/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  <c r="AA31" s="127"/>
      <c r="AB31" s="127"/>
      <c r="AC31" s="127"/>
      <c r="AD31" s="127"/>
      <c r="AE31" s="127"/>
      <c r="AF31" s="127"/>
      <c r="AG31" s="127"/>
      <c r="AH31" s="127"/>
      <c r="AI31" s="127"/>
      <c r="AJ31" s="127"/>
      <c r="AK31" s="127"/>
      <c r="AL31" s="127"/>
      <c r="AM31" s="127"/>
      <c r="AN31" s="128"/>
      <c r="AQ31" s="126"/>
      <c r="AR31" s="127"/>
      <c r="AS31" s="127"/>
      <c r="AT31" s="127"/>
      <c r="AU31" s="127"/>
      <c r="AV31" s="127"/>
      <c r="AW31" s="127"/>
      <c r="AX31" s="127"/>
      <c r="AY31" s="127"/>
      <c r="AZ31" s="127"/>
      <c r="BA31" s="127"/>
      <c r="BB31" s="127"/>
      <c r="BC31" s="127"/>
      <c r="BD31" s="127"/>
      <c r="BE31" s="127"/>
      <c r="BF31" s="127"/>
      <c r="BG31" s="127"/>
      <c r="BH31" s="127"/>
      <c r="BI31" s="127"/>
      <c r="BJ31" s="127"/>
      <c r="BK31" s="127"/>
      <c r="BL31" s="127"/>
      <c r="BM31" s="127"/>
      <c r="BN31" s="127"/>
      <c r="BO31" s="127"/>
      <c r="BP31" s="127"/>
      <c r="BQ31" s="127"/>
      <c r="BR31" s="127"/>
      <c r="BS31" s="127"/>
      <c r="BT31" s="127"/>
      <c r="BU31" s="127"/>
      <c r="BV31" s="127"/>
      <c r="BW31" s="127"/>
      <c r="BX31" s="127"/>
      <c r="BY31" s="127"/>
      <c r="BZ31" s="127"/>
      <c r="CA31" s="127"/>
      <c r="CB31" s="128"/>
    </row>
    <row r="32" spans="3:80" ht="9.75" customHeight="1">
      <c r="C32" s="126"/>
      <c r="D32" s="127"/>
      <c r="E32" s="127"/>
      <c r="F32" s="127"/>
      <c r="G32" s="127"/>
      <c r="H32" s="127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  <c r="AA32" s="127"/>
      <c r="AB32" s="127"/>
      <c r="AC32" s="127"/>
      <c r="AD32" s="127"/>
      <c r="AE32" s="127"/>
      <c r="AF32" s="127"/>
      <c r="AG32" s="127"/>
      <c r="AH32" s="127"/>
      <c r="AI32" s="127"/>
      <c r="AJ32" s="127"/>
      <c r="AK32" s="127"/>
      <c r="AL32" s="127"/>
      <c r="AM32" s="127"/>
      <c r="AN32" s="128"/>
      <c r="AQ32" s="126"/>
      <c r="AR32" s="127"/>
      <c r="AS32" s="127"/>
      <c r="AT32" s="127"/>
      <c r="AU32" s="127"/>
      <c r="AV32" s="127"/>
      <c r="AW32" s="127"/>
      <c r="AX32" s="127"/>
      <c r="AY32" s="127"/>
      <c r="AZ32" s="127"/>
      <c r="BA32" s="127"/>
      <c r="BB32" s="127"/>
      <c r="BC32" s="127"/>
      <c r="BD32" s="127"/>
      <c r="BE32" s="127"/>
      <c r="BF32" s="127"/>
      <c r="BG32" s="127"/>
      <c r="BH32" s="127"/>
      <c r="BI32" s="127"/>
      <c r="BJ32" s="127"/>
      <c r="BK32" s="127"/>
      <c r="BL32" s="127"/>
      <c r="BM32" s="127"/>
      <c r="BN32" s="127"/>
      <c r="BO32" s="127"/>
      <c r="BP32" s="127"/>
      <c r="BQ32" s="127"/>
      <c r="BR32" s="127"/>
      <c r="BS32" s="127"/>
      <c r="BT32" s="127"/>
      <c r="BU32" s="127"/>
      <c r="BV32" s="127"/>
      <c r="BW32" s="127"/>
      <c r="BX32" s="127"/>
      <c r="BY32" s="127"/>
      <c r="BZ32" s="127"/>
      <c r="CA32" s="127"/>
      <c r="CB32" s="128"/>
    </row>
    <row r="33" spans="3:80" ht="9.75" customHeight="1">
      <c r="C33" s="126"/>
      <c r="D33" s="127"/>
      <c r="E33" s="127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  <c r="AA33" s="127"/>
      <c r="AB33" s="127"/>
      <c r="AC33" s="127"/>
      <c r="AD33" s="127"/>
      <c r="AE33" s="127"/>
      <c r="AF33" s="127"/>
      <c r="AG33" s="127"/>
      <c r="AH33" s="127"/>
      <c r="AI33" s="127"/>
      <c r="AJ33" s="127"/>
      <c r="AK33" s="127"/>
      <c r="AL33" s="127"/>
      <c r="AM33" s="127"/>
      <c r="AN33" s="128"/>
      <c r="AQ33" s="126"/>
      <c r="AR33" s="127"/>
      <c r="AS33" s="127"/>
      <c r="AT33" s="127"/>
      <c r="AU33" s="127"/>
      <c r="AV33" s="127"/>
      <c r="AW33" s="127"/>
      <c r="AX33" s="127"/>
      <c r="AY33" s="127"/>
      <c r="AZ33" s="127"/>
      <c r="BA33" s="127"/>
      <c r="BB33" s="127"/>
      <c r="BC33" s="127"/>
      <c r="BD33" s="127"/>
      <c r="BE33" s="127"/>
      <c r="BF33" s="127"/>
      <c r="BG33" s="127"/>
      <c r="BH33" s="127"/>
      <c r="BI33" s="127"/>
      <c r="BJ33" s="127"/>
      <c r="BK33" s="127"/>
      <c r="BL33" s="127"/>
      <c r="BM33" s="127"/>
      <c r="BN33" s="127"/>
      <c r="BO33" s="127"/>
      <c r="BP33" s="127"/>
      <c r="BQ33" s="127"/>
      <c r="BR33" s="127"/>
      <c r="BS33" s="127"/>
      <c r="BT33" s="127"/>
      <c r="BU33" s="127"/>
      <c r="BV33" s="127"/>
      <c r="BW33" s="127"/>
      <c r="BX33" s="127"/>
      <c r="BY33" s="127"/>
      <c r="BZ33" s="127"/>
      <c r="CA33" s="127"/>
      <c r="CB33" s="128"/>
    </row>
    <row r="34" spans="3:80" ht="9.75" customHeight="1">
      <c r="C34" s="126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  <c r="AA34" s="127"/>
      <c r="AB34" s="127"/>
      <c r="AC34" s="127"/>
      <c r="AD34" s="127"/>
      <c r="AE34" s="127"/>
      <c r="AF34" s="127"/>
      <c r="AG34" s="127"/>
      <c r="AH34" s="127"/>
      <c r="AI34" s="127"/>
      <c r="AJ34" s="127"/>
      <c r="AK34" s="127"/>
      <c r="AL34" s="127"/>
      <c r="AM34" s="127"/>
      <c r="AN34" s="128"/>
      <c r="AQ34" s="126"/>
      <c r="AR34" s="127"/>
      <c r="AS34" s="127"/>
      <c r="AT34" s="127"/>
      <c r="AU34" s="127"/>
      <c r="AV34" s="127"/>
      <c r="AW34" s="127"/>
      <c r="AX34" s="127"/>
      <c r="AY34" s="127"/>
      <c r="AZ34" s="127"/>
      <c r="BA34" s="127"/>
      <c r="BB34" s="127"/>
      <c r="BC34" s="127"/>
      <c r="BD34" s="127"/>
      <c r="BE34" s="127"/>
      <c r="BF34" s="127"/>
      <c r="BG34" s="127"/>
      <c r="BH34" s="127"/>
      <c r="BI34" s="127"/>
      <c r="BJ34" s="127"/>
      <c r="BK34" s="127"/>
      <c r="BL34" s="127"/>
      <c r="BM34" s="127"/>
      <c r="BN34" s="127"/>
      <c r="BO34" s="127"/>
      <c r="BP34" s="127"/>
      <c r="BQ34" s="127"/>
      <c r="BR34" s="127"/>
      <c r="BS34" s="127"/>
      <c r="BT34" s="127"/>
      <c r="BU34" s="127"/>
      <c r="BV34" s="127"/>
      <c r="BW34" s="127"/>
      <c r="BX34" s="127"/>
      <c r="BY34" s="127"/>
      <c r="BZ34" s="127"/>
      <c r="CA34" s="127"/>
      <c r="CB34" s="128"/>
    </row>
    <row r="35" spans="3:80" ht="9.75" customHeight="1">
      <c r="C35" s="126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  <c r="AA35" s="127"/>
      <c r="AB35" s="127"/>
      <c r="AC35" s="127"/>
      <c r="AD35" s="127"/>
      <c r="AE35" s="127"/>
      <c r="AF35" s="127"/>
      <c r="AG35" s="127"/>
      <c r="AH35" s="127"/>
      <c r="AI35" s="127"/>
      <c r="AJ35" s="127"/>
      <c r="AK35" s="127"/>
      <c r="AL35" s="127"/>
      <c r="AM35" s="127"/>
      <c r="AN35" s="128"/>
      <c r="AQ35" s="126"/>
      <c r="AR35" s="127"/>
      <c r="AS35" s="127"/>
      <c r="AT35" s="127"/>
      <c r="AU35" s="127"/>
      <c r="AV35" s="127"/>
      <c r="AW35" s="127"/>
      <c r="AX35" s="127"/>
      <c r="AY35" s="127"/>
      <c r="AZ35" s="127"/>
      <c r="BA35" s="127"/>
      <c r="BB35" s="127"/>
      <c r="BC35" s="127"/>
      <c r="BD35" s="127"/>
      <c r="BE35" s="127"/>
      <c r="BF35" s="127"/>
      <c r="BG35" s="127"/>
      <c r="BH35" s="127"/>
      <c r="BI35" s="127"/>
      <c r="BJ35" s="127"/>
      <c r="BK35" s="127"/>
      <c r="BL35" s="127"/>
      <c r="BM35" s="127"/>
      <c r="BN35" s="127"/>
      <c r="BO35" s="127"/>
      <c r="BP35" s="127"/>
      <c r="BQ35" s="127"/>
      <c r="BR35" s="127"/>
      <c r="BS35" s="127"/>
      <c r="BT35" s="127"/>
      <c r="BU35" s="127"/>
      <c r="BV35" s="127"/>
      <c r="BW35" s="127"/>
      <c r="BX35" s="127"/>
      <c r="BY35" s="127"/>
      <c r="BZ35" s="127"/>
      <c r="CA35" s="127"/>
      <c r="CB35" s="128"/>
    </row>
    <row r="36" spans="3:80" ht="9.75" customHeight="1">
      <c r="C36" s="126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  <c r="AD36" s="127"/>
      <c r="AE36" s="127"/>
      <c r="AF36" s="127"/>
      <c r="AG36" s="127"/>
      <c r="AH36" s="127"/>
      <c r="AI36" s="127"/>
      <c r="AJ36" s="127"/>
      <c r="AK36" s="127"/>
      <c r="AL36" s="127"/>
      <c r="AM36" s="127"/>
      <c r="AN36" s="128"/>
      <c r="AQ36" s="126"/>
      <c r="AR36" s="127"/>
      <c r="AS36" s="127"/>
      <c r="AT36" s="127"/>
      <c r="AU36" s="127"/>
      <c r="AV36" s="127"/>
      <c r="AW36" s="127"/>
      <c r="AX36" s="127"/>
      <c r="AY36" s="127"/>
      <c r="AZ36" s="127"/>
      <c r="BA36" s="127"/>
      <c r="BB36" s="127"/>
      <c r="BC36" s="127"/>
      <c r="BD36" s="127"/>
      <c r="BE36" s="127"/>
      <c r="BF36" s="127"/>
      <c r="BG36" s="127"/>
      <c r="BH36" s="127"/>
      <c r="BI36" s="127"/>
      <c r="BJ36" s="127"/>
      <c r="BK36" s="127"/>
      <c r="BL36" s="127"/>
      <c r="BM36" s="127"/>
      <c r="BN36" s="127"/>
      <c r="BO36" s="127"/>
      <c r="BP36" s="127"/>
      <c r="BQ36" s="127"/>
      <c r="BR36" s="127"/>
      <c r="BS36" s="127"/>
      <c r="BT36" s="127"/>
      <c r="BU36" s="127"/>
      <c r="BV36" s="127"/>
      <c r="BW36" s="127"/>
      <c r="BX36" s="127"/>
      <c r="BY36" s="127"/>
      <c r="BZ36" s="127"/>
      <c r="CA36" s="127"/>
      <c r="CB36" s="128"/>
    </row>
    <row r="37" spans="3:80" ht="9.75" customHeight="1">
      <c r="C37" s="126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8"/>
      <c r="AQ37" s="126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128"/>
    </row>
    <row r="38" spans="3:80" ht="9.75" customHeight="1">
      <c r="C38" s="126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  <c r="AA38" s="127"/>
      <c r="AB38" s="127"/>
      <c r="AC38" s="127"/>
      <c r="AD38" s="127"/>
      <c r="AE38" s="127"/>
      <c r="AF38" s="127"/>
      <c r="AG38" s="127"/>
      <c r="AH38" s="127"/>
      <c r="AI38" s="127"/>
      <c r="AJ38" s="127"/>
      <c r="AK38" s="127"/>
      <c r="AL38" s="127"/>
      <c r="AM38" s="127"/>
      <c r="AN38" s="128"/>
      <c r="AQ38" s="126"/>
      <c r="AR38" s="127"/>
      <c r="AS38" s="127"/>
      <c r="AT38" s="127"/>
      <c r="AU38" s="127"/>
      <c r="AV38" s="127"/>
      <c r="AW38" s="127"/>
      <c r="AX38" s="127"/>
      <c r="AY38" s="127"/>
      <c r="AZ38" s="127"/>
      <c r="BA38" s="127"/>
      <c r="BB38" s="127"/>
      <c r="BC38" s="127"/>
      <c r="BD38" s="127"/>
      <c r="BE38" s="127"/>
      <c r="BF38" s="127"/>
      <c r="BG38" s="127"/>
      <c r="BH38" s="127"/>
      <c r="BI38" s="127"/>
      <c r="BJ38" s="127"/>
      <c r="BK38" s="127"/>
      <c r="BL38" s="127"/>
      <c r="BM38" s="127"/>
      <c r="BN38" s="127"/>
      <c r="BO38" s="127"/>
      <c r="BP38" s="127"/>
      <c r="BQ38" s="127"/>
      <c r="BR38" s="127"/>
      <c r="BS38" s="127"/>
      <c r="BT38" s="127"/>
      <c r="BU38" s="127"/>
      <c r="BV38" s="127"/>
      <c r="BW38" s="127"/>
      <c r="BX38" s="127"/>
      <c r="BY38" s="127"/>
      <c r="BZ38" s="127"/>
      <c r="CA38" s="127"/>
      <c r="CB38" s="128"/>
    </row>
    <row r="39" spans="3:80" ht="9.75" customHeight="1">
      <c r="C39" s="126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  <c r="AA39" s="127"/>
      <c r="AB39" s="127"/>
      <c r="AC39" s="127"/>
      <c r="AD39" s="127"/>
      <c r="AE39" s="127"/>
      <c r="AF39" s="127"/>
      <c r="AG39" s="127"/>
      <c r="AH39" s="127"/>
      <c r="AI39" s="127"/>
      <c r="AJ39" s="127"/>
      <c r="AK39" s="127"/>
      <c r="AL39" s="127"/>
      <c r="AM39" s="127"/>
      <c r="AN39" s="128"/>
      <c r="AQ39" s="126"/>
      <c r="AR39" s="127"/>
      <c r="AS39" s="127"/>
      <c r="AT39" s="127"/>
      <c r="AU39" s="127"/>
      <c r="AV39" s="127"/>
      <c r="AW39" s="127"/>
      <c r="AX39" s="127"/>
      <c r="AY39" s="127"/>
      <c r="AZ39" s="127"/>
      <c r="BA39" s="127"/>
      <c r="BB39" s="127"/>
      <c r="BC39" s="127"/>
      <c r="BD39" s="127"/>
      <c r="BE39" s="127"/>
      <c r="BF39" s="127"/>
      <c r="BG39" s="127"/>
      <c r="BH39" s="127"/>
      <c r="BI39" s="127"/>
      <c r="BJ39" s="127"/>
      <c r="BK39" s="127"/>
      <c r="BL39" s="127"/>
      <c r="BM39" s="127"/>
      <c r="BN39" s="127"/>
      <c r="BO39" s="127"/>
      <c r="BP39" s="127"/>
      <c r="BQ39" s="127"/>
      <c r="BR39" s="127"/>
      <c r="BS39" s="127"/>
      <c r="BT39" s="127"/>
      <c r="BU39" s="127"/>
      <c r="BV39" s="127"/>
      <c r="BW39" s="127"/>
      <c r="BX39" s="127"/>
      <c r="BY39" s="127"/>
      <c r="BZ39" s="127"/>
      <c r="CA39" s="127"/>
      <c r="CB39" s="128"/>
    </row>
    <row r="40" spans="3:80" ht="9.75" customHeight="1">
      <c r="C40" s="126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  <c r="AA40" s="127"/>
      <c r="AB40" s="127"/>
      <c r="AC40" s="127"/>
      <c r="AD40" s="127"/>
      <c r="AE40" s="127"/>
      <c r="AF40" s="127"/>
      <c r="AG40" s="127"/>
      <c r="AH40" s="127"/>
      <c r="AI40" s="127"/>
      <c r="AJ40" s="127"/>
      <c r="AK40" s="127"/>
      <c r="AL40" s="127"/>
      <c r="AM40" s="127"/>
      <c r="AN40" s="128"/>
      <c r="AQ40" s="126"/>
      <c r="AR40" s="127"/>
      <c r="AS40" s="127"/>
      <c r="AT40" s="127"/>
      <c r="AU40" s="127"/>
      <c r="AV40" s="127"/>
      <c r="AW40" s="127"/>
      <c r="AX40" s="127"/>
      <c r="AY40" s="127"/>
      <c r="AZ40" s="127"/>
      <c r="BA40" s="127"/>
      <c r="BB40" s="127"/>
      <c r="BC40" s="127"/>
      <c r="BD40" s="127"/>
      <c r="BE40" s="127"/>
      <c r="BF40" s="127"/>
      <c r="BG40" s="127"/>
      <c r="BH40" s="127"/>
      <c r="BI40" s="127"/>
      <c r="BJ40" s="127"/>
      <c r="BK40" s="127"/>
      <c r="BL40" s="127"/>
      <c r="BM40" s="127"/>
      <c r="BN40" s="127"/>
      <c r="BO40" s="127"/>
      <c r="BP40" s="127"/>
      <c r="BQ40" s="127"/>
      <c r="BR40" s="127"/>
      <c r="BS40" s="127"/>
      <c r="BT40" s="127"/>
      <c r="BU40" s="127"/>
      <c r="BV40" s="127"/>
      <c r="BW40" s="127"/>
      <c r="BX40" s="127"/>
      <c r="BY40" s="127"/>
      <c r="BZ40" s="127"/>
      <c r="CA40" s="127"/>
      <c r="CB40" s="128"/>
    </row>
    <row r="41" spans="3:80" ht="9.75" customHeight="1">
      <c r="C41" s="126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  <c r="AA41" s="127"/>
      <c r="AB41" s="127"/>
      <c r="AC41" s="127"/>
      <c r="AD41" s="127"/>
      <c r="AE41" s="127"/>
      <c r="AF41" s="127"/>
      <c r="AG41" s="127"/>
      <c r="AH41" s="127"/>
      <c r="AI41" s="127"/>
      <c r="AJ41" s="127"/>
      <c r="AK41" s="127"/>
      <c r="AL41" s="127"/>
      <c r="AM41" s="127"/>
      <c r="AN41" s="128"/>
      <c r="AQ41" s="126"/>
      <c r="AR41" s="127"/>
      <c r="AS41" s="127"/>
      <c r="AT41" s="127"/>
      <c r="AU41" s="127"/>
      <c r="AV41" s="127"/>
      <c r="AW41" s="127"/>
      <c r="AX41" s="127"/>
      <c r="AY41" s="127"/>
      <c r="AZ41" s="127"/>
      <c r="BA41" s="127"/>
      <c r="BB41" s="127"/>
      <c r="BC41" s="127"/>
      <c r="BD41" s="127"/>
      <c r="BE41" s="127"/>
      <c r="BF41" s="127"/>
      <c r="BG41" s="127"/>
      <c r="BH41" s="127"/>
      <c r="BI41" s="127"/>
      <c r="BJ41" s="127"/>
      <c r="BK41" s="127"/>
      <c r="BL41" s="127"/>
      <c r="BM41" s="127"/>
      <c r="BN41" s="127"/>
      <c r="BO41" s="127"/>
      <c r="BP41" s="127"/>
      <c r="BQ41" s="127"/>
      <c r="BR41" s="127"/>
      <c r="BS41" s="127"/>
      <c r="BT41" s="127"/>
      <c r="BU41" s="127"/>
      <c r="BV41" s="127"/>
      <c r="BW41" s="127"/>
      <c r="BX41" s="127"/>
      <c r="BY41" s="127"/>
      <c r="BZ41" s="127"/>
      <c r="CA41" s="127"/>
      <c r="CB41" s="128"/>
    </row>
    <row r="42" spans="3:80" ht="9.75" customHeight="1">
      <c r="C42" s="126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  <c r="AA42" s="127"/>
      <c r="AB42" s="127"/>
      <c r="AC42" s="127"/>
      <c r="AD42" s="127"/>
      <c r="AE42" s="127"/>
      <c r="AF42" s="127"/>
      <c r="AG42" s="127"/>
      <c r="AH42" s="127"/>
      <c r="AI42" s="127"/>
      <c r="AJ42" s="127"/>
      <c r="AK42" s="127"/>
      <c r="AL42" s="127"/>
      <c r="AM42" s="127"/>
      <c r="AN42" s="128"/>
      <c r="AQ42" s="126"/>
      <c r="AR42" s="127"/>
      <c r="AS42" s="127"/>
      <c r="AT42" s="127"/>
      <c r="AU42" s="127"/>
      <c r="AV42" s="127"/>
      <c r="AW42" s="127"/>
      <c r="AX42" s="127"/>
      <c r="AY42" s="127"/>
      <c r="AZ42" s="127"/>
      <c r="BA42" s="127"/>
      <c r="BB42" s="127"/>
      <c r="BC42" s="127"/>
      <c r="BD42" s="127"/>
      <c r="BE42" s="127"/>
      <c r="BF42" s="127"/>
      <c r="BG42" s="127"/>
      <c r="BH42" s="127"/>
      <c r="BI42" s="127"/>
      <c r="BJ42" s="127"/>
      <c r="BK42" s="127"/>
      <c r="BL42" s="127"/>
      <c r="BM42" s="127"/>
      <c r="BN42" s="127"/>
      <c r="BO42" s="127"/>
      <c r="BP42" s="127"/>
      <c r="BQ42" s="127"/>
      <c r="BR42" s="127"/>
      <c r="BS42" s="127"/>
      <c r="BT42" s="127"/>
      <c r="BU42" s="127"/>
      <c r="BV42" s="127"/>
      <c r="BW42" s="127"/>
      <c r="BX42" s="127"/>
      <c r="BY42" s="127"/>
      <c r="BZ42" s="127"/>
      <c r="CA42" s="127"/>
      <c r="CB42" s="128"/>
    </row>
    <row r="43" spans="3:80" ht="9.75" customHeight="1">
      <c r="C43" s="126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  <c r="AA43" s="127"/>
      <c r="AB43" s="127"/>
      <c r="AC43" s="127"/>
      <c r="AD43" s="127"/>
      <c r="AE43" s="127"/>
      <c r="AF43" s="127"/>
      <c r="AG43" s="127"/>
      <c r="AH43" s="127"/>
      <c r="AI43" s="127"/>
      <c r="AJ43" s="127"/>
      <c r="AK43" s="127"/>
      <c r="AL43" s="127"/>
      <c r="AM43" s="127"/>
      <c r="AN43" s="128"/>
      <c r="AQ43" s="126"/>
      <c r="AR43" s="127"/>
      <c r="AS43" s="127"/>
      <c r="AT43" s="127"/>
      <c r="AU43" s="127"/>
      <c r="AV43" s="127"/>
      <c r="AW43" s="127"/>
      <c r="AX43" s="127"/>
      <c r="AY43" s="127"/>
      <c r="AZ43" s="127"/>
      <c r="BA43" s="127"/>
      <c r="BB43" s="127"/>
      <c r="BC43" s="127"/>
      <c r="BD43" s="127"/>
      <c r="BE43" s="127"/>
      <c r="BF43" s="127"/>
      <c r="BG43" s="127"/>
      <c r="BH43" s="127"/>
      <c r="BI43" s="127"/>
      <c r="BJ43" s="127"/>
      <c r="BK43" s="127"/>
      <c r="BL43" s="127"/>
      <c r="BM43" s="127"/>
      <c r="BN43" s="127"/>
      <c r="BO43" s="127"/>
      <c r="BP43" s="127"/>
      <c r="BQ43" s="127"/>
      <c r="BR43" s="127"/>
      <c r="BS43" s="127"/>
      <c r="BT43" s="127"/>
      <c r="BU43" s="127"/>
      <c r="BV43" s="127"/>
      <c r="BW43" s="127"/>
      <c r="BX43" s="127"/>
      <c r="BY43" s="127"/>
      <c r="BZ43" s="127"/>
      <c r="CA43" s="127"/>
      <c r="CB43" s="128"/>
    </row>
    <row r="44" spans="3:80" ht="9.75" customHeight="1">
      <c r="C44" s="126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  <c r="AA44" s="127"/>
      <c r="AB44" s="127"/>
      <c r="AC44" s="127"/>
      <c r="AD44" s="127"/>
      <c r="AE44" s="127"/>
      <c r="AF44" s="127"/>
      <c r="AG44" s="127"/>
      <c r="AH44" s="127"/>
      <c r="AI44" s="127"/>
      <c r="AJ44" s="127"/>
      <c r="AK44" s="127"/>
      <c r="AL44" s="127"/>
      <c r="AM44" s="127"/>
      <c r="AN44" s="128"/>
      <c r="AQ44" s="126"/>
      <c r="AR44" s="127"/>
      <c r="AS44" s="127"/>
      <c r="AT44" s="127"/>
      <c r="AU44" s="127"/>
      <c r="AV44" s="127"/>
      <c r="AW44" s="127"/>
      <c r="AX44" s="127"/>
      <c r="AY44" s="127"/>
      <c r="AZ44" s="127"/>
      <c r="BA44" s="127"/>
      <c r="BB44" s="127"/>
      <c r="BC44" s="127"/>
      <c r="BD44" s="127"/>
      <c r="BE44" s="127"/>
      <c r="BF44" s="127"/>
      <c r="BG44" s="127"/>
      <c r="BH44" s="127"/>
      <c r="BI44" s="127"/>
      <c r="BJ44" s="127"/>
      <c r="BK44" s="127"/>
      <c r="BL44" s="127"/>
      <c r="BM44" s="127"/>
      <c r="BN44" s="127"/>
      <c r="BO44" s="127"/>
      <c r="BP44" s="127"/>
      <c r="BQ44" s="127"/>
      <c r="BR44" s="127"/>
      <c r="BS44" s="127"/>
      <c r="BT44" s="127"/>
      <c r="BU44" s="127"/>
      <c r="BV44" s="127"/>
      <c r="BW44" s="127"/>
      <c r="BX44" s="127"/>
      <c r="BY44" s="127"/>
      <c r="BZ44" s="127"/>
      <c r="CA44" s="127"/>
      <c r="CB44" s="128"/>
    </row>
    <row r="45" spans="3:80" ht="9.75" customHeight="1">
      <c r="C45" s="126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  <c r="AA45" s="127"/>
      <c r="AB45" s="127"/>
      <c r="AC45" s="127"/>
      <c r="AD45" s="127"/>
      <c r="AE45" s="127"/>
      <c r="AF45" s="127"/>
      <c r="AG45" s="127"/>
      <c r="AH45" s="127"/>
      <c r="AI45" s="127"/>
      <c r="AJ45" s="127"/>
      <c r="AK45" s="127"/>
      <c r="AL45" s="127"/>
      <c r="AM45" s="127"/>
      <c r="AN45" s="128"/>
      <c r="AQ45" s="126"/>
      <c r="AR45" s="127"/>
      <c r="AS45" s="127"/>
      <c r="AT45" s="127"/>
      <c r="AU45" s="127"/>
      <c r="AV45" s="127"/>
      <c r="AW45" s="127"/>
      <c r="AX45" s="127"/>
      <c r="AY45" s="127"/>
      <c r="AZ45" s="127"/>
      <c r="BA45" s="127"/>
      <c r="BB45" s="127"/>
      <c r="BC45" s="127"/>
      <c r="BD45" s="127"/>
      <c r="BE45" s="127"/>
      <c r="BF45" s="127"/>
      <c r="BG45" s="127"/>
      <c r="BH45" s="127"/>
      <c r="BI45" s="127"/>
      <c r="BJ45" s="127"/>
      <c r="BK45" s="127"/>
      <c r="BL45" s="127"/>
      <c r="BM45" s="127"/>
      <c r="BN45" s="127"/>
      <c r="BO45" s="127"/>
      <c r="BP45" s="127"/>
      <c r="BQ45" s="127"/>
      <c r="BR45" s="127"/>
      <c r="BS45" s="127"/>
      <c r="BT45" s="127"/>
      <c r="BU45" s="127"/>
      <c r="BV45" s="127"/>
      <c r="BW45" s="127"/>
      <c r="BX45" s="127"/>
      <c r="BY45" s="127"/>
      <c r="BZ45" s="127"/>
      <c r="CA45" s="127"/>
      <c r="CB45" s="128"/>
    </row>
    <row r="46" spans="3:80" ht="9.75" customHeight="1" thickBot="1">
      <c r="C46" s="129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  <c r="AA46" s="130"/>
      <c r="AB46" s="130"/>
      <c r="AC46" s="130"/>
      <c r="AD46" s="130"/>
      <c r="AE46" s="130"/>
      <c r="AF46" s="130"/>
      <c r="AG46" s="130"/>
      <c r="AH46" s="130"/>
      <c r="AI46" s="130"/>
      <c r="AJ46" s="130"/>
      <c r="AK46" s="130"/>
      <c r="AL46" s="130"/>
      <c r="AM46" s="130"/>
      <c r="AN46" s="131"/>
      <c r="AQ46" s="129"/>
      <c r="AR46" s="130"/>
      <c r="AS46" s="130"/>
      <c r="AT46" s="130"/>
      <c r="AU46" s="130"/>
      <c r="AV46" s="130"/>
      <c r="AW46" s="130"/>
      <c r="AX46" s="130"/>
      <c r="AY46" s="130"/>
      <c r="AZ46" s="130"/>
      <c r="BA46" s="130"/>
      <c r="BB46" s="130"/>
      <c r="BC46" s="130"/>
      <c r="BD46" s="130"/>
      <c r="BE46" s="130"/>
      <c r="BF46" s="130"/>
      <c r="BG46" s="130"/>
      <c r="BH46" s="130"/>
      <c r="BI46" s="130"/>
      <c r="BJ46" s="130"/>
      <c r="BK46" s="130"/>
      <c r="BL46" s="130"/>
      <c r="BM46" s="130"/>
      <c r="BN46" s="130"/>
      <c r="BO46" s="130"/>
      <c r="BP46" s="130"/>
      <c r="BQ46" s="130"/>
      <c r="BR46" s="130"/>
      <c r="BS46" s="130"/>
      <c r="BT46" s="130"/>
      <c r="BU46" s="130"/>
      <c r="BV46" s="130"/>
      <c r="BW46" s="130"/>
      <c r="BX46" s="130"/>
      <c r="BY46" s="130"/>
      <c r="BZ46" s="130"/>
      <c r="CA46" s="130"/>
      <c r="CB46" s="131"/>
    </row>
  </sheetData>
  <mergeCells count="12">
    <mergeCell ref="C9:CB10"/>
    <mergeCell ref="C11:CB24"/>
    <mergeCell ref="C26:AN27"/>
    <mergeCell ref="C28:AN46"/>
    <mergeCell ref="AQ26:CB27"/>
    <mergeCell ref="AQ28:CB46"/>
    <mergeCell ref="W2:AN3"/>
    <mergeCell ref="W4:AN7"/>
    <mergeCell ref="AQ2:BH3"/>
    <mergeCell ref="AQ4:BH7"/>
    <mergeCell ref="BK2:CB3"/>
    <mergeCell ref="BK4:CB7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9</vt:i4>
      </vt:variant>
    </vt:vector>
  </HeadingPairs>
  <TitlesOfParts>
    <vt:vector size="17" baseType="lpstr">
      <vt:lpstr>Menu</vt:lpstr>
      <vt:lpstr>Produtos</vt:lpstr>
      <vt:lpstr>Vendedores</vt:lpstr>
      <vt:lpstr>Vendas</vt:lpstr>
      <vt:lpstr>Consultas</vt:lpstr>
      <vt:lpstr>Cadastros Auxiliares</vt:lpstr>
      <vt:lpstr>Dados para Gráficos</vt:lpstr>
      <vt:lpstr>Dashboard</vt:lpstr>
      <vt:lpstr>Desc_Categorias</vt:lpstr>
      <vt:lpstr>Desc_Quantidades</vt:lpstr>
      <vt:lpstr>Desc_TabelaToda</vt:lpstr>
      <vt:lpstr>Int_Categoria</vt:lpstr>
      <vt:lpstr>Int_Codigo</vt:lpstr>
      <vt:lpstr>Int_Estoque</vt:lpstr>
      <vt:lpstr>Int_PrecoUnit</vt:lpstr>
      <vt:lpstr>Int_Produtos</vt:lpstr>
      <vt:lpstr>Int_Tamanho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Resolve Testes</dc:creator>
  <cp:lastModifiedBy>Samir Oliveira</cp:lastModifiedBy>
  <cp:lastPrinted>2023-06-07T14:57:58Z</cp:lastPrinted>
  <dcterms:created xsi:type="dcterms:W3CDTF">2023-06-02T17:54:12Z</dcterms:created>
  <dcterms:modified xsi:type="dcterms:W3CDTF">2025-11-01T17:23:17Z</dcterms:modified>
</cp:coreProperties>
</file>