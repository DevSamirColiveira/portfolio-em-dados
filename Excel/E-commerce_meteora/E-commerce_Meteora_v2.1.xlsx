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85b6e2554a4e58c/Documentos/GitHub/portfolio-em-dados/Excel/E-commerce_meteora/"/>
    </mc:Choice>
  </mc:AlternateContent>
  <xr:revisionPtr revIDLastSave="41" documentId="8_{2BCB36E9-ED98-4D97-BC89-033AD3013826}" xr6:coauthVersionLast="47" xr6:coauthVersionMax="47" xr10:uidLastSave="{75FDA944-415C-42AB-BF34-82619EEF37CF}"/>
  <bookViews>
    <workbookView xWindow="32610" yWindow="405" windowWidth="27270" windowHeight="13440" tabRatio="808" activeTab="5" xr2:uid="{F6D97A53-F63B-4272-A181-44B26E0B790F}"/>
  </bookViews>
  <sheets>
    <sheet name="Menu" sheetId="25" r:id="rId1"/>
    <sheet name="Produtos" sheetId="17" r:id="rId2"/>
    <sheet name="Vendedores" sheetId="28" r:id="rId3"/>
    <sheet name="Vendas" sheetId="16" r:id="rId4"/>
    <sheet name="Consultas" sheetId="24" r:id="rId5"/>
    <sheet name="DN_Produtos" sheetId="29" r:id="rId6"/>
    <sheet name="DN_Vendas" sheetId="31" r:id="rId7"/>
    <sheet name="Cadastros Auxiliares" sheetId="23" state="hidden" r:id="rId8"/>
    <sheet name="DN_Vendedores" sheetId="34" r:id="rId9"/>
    <sheet name="Dashboard" sheetId="18" r:id="rId10"/>
  </sheets>
  <definedNames>
    <definedName name="_xlnm._FilterDatabase" localSheetId="3" hidden="1">Vendas!$B$4:$E$86</definedName>
    <definedName name="_xlcn.WorksheetConnection_Ecommerce_Meteora_v2.5.xlsxTB_Produtos1" hidden="1">TB_Produtos[]</definedName>
    <definedName name="_xlcn.WorksheetConnection_Ecommerce_Meteora_v2.5.xlsxTB_Vendas1" hidden="1">TB_Vendas[]</definedName>
    <definedName name="_xlcn.WorksheetConnection_Ecommerce_Meteora_v2.5.xlsxTB_Vendedores1" hidden="1">TB_Vendedores[]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  <definedName name="SegmentaçãodeDados_Categoria1">#N/A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Vendedores" name="TB_Vendedores" connection="WorksheetConnection_E-commerce_Meteora_v2.5.xlsx!TB_Vendedores"/>
          <x15:modelTable id="TB_Vendas" name="TB_Vendas" connection="WorksheetConnection_E-commerce_Meteora_v2.5.xlsx!TB_Vendas"/>
          <x15:modelTable id="TB_Produtos" name="TB_Produtos" connection="WorksheetConnection_E-commerce_Meteora_v2.5.xlsx!TB_Produtos"/>
        </x15:modelTables>
        <x15:modelRelationships>
          <x15:modelRelationship fromTable="TB_Vendas" fromColumn="Vendedor" toTable="TB_Vendedore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Ven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31" l="1"/>
  <c r="K5" i="31"/>
  <c r="K4" i="31"/>
  <c r="W4" i="18"/>
  <c r="L4" i="31"/>
  <c r="M6" i="31"/>
  <c r="M5" i="31"/>
  <c r="M4" i="31"/>
  <c r="L5" i="31"/>
  <c r="AQ4" i="18"/>
  <c r="BK4" i="18"/>
  <c r="L6" i="31"/>
  <c r="D5" i="16" l="1"/>
  <c r="G5" i="16" s="1"/>
  <c r="H5" i="16" s="1"/>
  <c r="D6" i="16"/>
  <c r="G6" i="16" s="1"/>
  <c r="H6" i="16" s="1"/>
  <c r="D7" i="16"/>
  <c r="G7" i="16" s="1"/>
  <c r="H7" i="16" s="1"/>
  <c r="D8" i="16"/>
  <c r="G8" i="16" s="1"/>
  <c r="H8" i="16" s="1"/>
  <c r="D9" i="16"/>
  <c r="G9" i="16" s="1"/>
  <c r="H9" i="16" s="1"/>
  <c r="D10" i="16"/>
  <c r="G10" i="16" s="1"/>
  <c r="H10" i="16" s="1"/>
  <c r="D11" i="16"/>
  <c r="G11" i="16" s="1"/>
  <c r="H11" i="16" s="1"/>
  <c r="D12" i="16"/>
  <c r="G12" i="16" s="1"/>
  <c r="H12" i="16" s="1"/>
  <c r="D13" i="16"/>
  <c r="G13" i="16" s="1"/>
  <c r="H13" i="16" s="1"/>
  <c r="D14" i="16"/>
  <c r="G14" i="16" s="1"/>
  <c r="H14" i="16" s="1"/>
  <c r="D15" i="16"/>
  <c r="G15" i="16" s="1"/>
  <c r="H15" i="16" s="1"/>
  <c r="D16" i="16"/>
  <c r="G16" i="16" s="1"/>
  <c r="H16" i="16" s="1"/>
  <c r="D17" i="16"/>
  <c r="G17" i="16" s="1"/>
  <c r="H17" i="16" s="1"/>
  <c r="D18" i="16"/>
  <c r="G18" i="16" s="1"/>
  <c r="H18" i="16" s="1"/>
  <c r="D19" i="16"/>
  <c r="G19" i="16" s="1"/>
  <c r="H19" i="16" s="1"/>
  <c r="D20" i="16"/>
  <c r="G20" i="16" s="1"/>
  <c r="H20" i="16" s="1"/>
  <c r="D21" i="16"/>
  <c r="G21" i="16" s="1"/>
  <c r="H21" i="16" s="1"/>
  <c r="D22" i="16"/>
  <c r="G22" i="16" s="1"/>
  <c r="H22" i="16" s="1"/>
  <c r="D23" i="16"/>
  <c r="G23" i="16" s="1"/>
  <c r="H23" i="16" s="1"/>
  <c r="D24" i="16"/>
  <c r="G24" i="16" s="1"/>
  <c r="H24" i="16" s="1"/>
  <c r="D25" i="16"/>
  <c r="G25" i="16" s="1"/>
  <c r="H25" i="16" s="1"/>
  <c r="D26" i="16"/>
  <c r="G26" i="16" s="1"/>
  <c r="H26" i="16" s="1"/>
  <c r="D27" i="16"/>
  <c r="G27" i="16" s="1"/>
  <c r="H27" i="16" s="1"/>
  <c r="D28" i="16"/>
  <c r="G28" i="16" s="1"/>
  <c r="H28" i="16" s="1"/>
  <c r="D29" i="16"/>
  <c r="G29" i="16" s="1"/>
  <c r="H29" i="16" s="1"/>
  <c r="D30" i="16"/>
  <c r="G30" i="16" s="1"/>
  <c r="H30" i="16" s="1"/>
  <c r="D31" i="16"/>
  <c r="G31" i="16" s="1"/>
  <c r="H31" i="16" s="1"/>
  <c r="D32" i="16"/>
  <c r="G32" i="16" s="1"/>
  <c r="H32" i="16" s="1"/>
  <c r="D33" i="16"/>
  <c r="G33" i="16" s="1"/>
  <c r="H33" i="16" s="1"/>
  <c r="D34" i="16"/>
  <c r="G34" i="16" s="1"/>
  <c r="H34" i="16" s="1"/>
  <c r="D35" i="16"/>
  <c r="G35" i="16" s="1"/>
  <c r="H35" i="16" s="1"/>
  <c r="D36" i="16"/>
  <c r="G36" i="16" s="1"/>
  <c r="H36" i="16" s="1"/>
  <c r="D37" i="16"/>
  <c r="G37" i="16" s="1"/>
  <c r="H37" i="16" s="1"/>
  <c r="D38" i="16"/>
  <c r="G38" i="16" s="1"/>
  <c r="H38" i="16" s="1"/>
  <c r="D39" i="16"/>
  <c r="G39" i="16" s="1"/>
  <c r="H39" i="16" s="1"/>
  <c r="D40" i="16"/>
  <c r="G40" i="16" s="1"/>
  <c r="H40" i="16" s="1"/>
  <c r="D41" i="16"/>
  <c r="G41" i="16" s="1"/>
  <c r="H41" i="16" s="1"/>
  <c r="D42" i="16"/>
  <c r="G42" i="16" s="1"/>
  <c r="H42" i="16" s="1"/>
  <c r="D43" i="16"/>
  <c r="G43" i="16" s="1"/>
  <c r="H43" i="16" s="1"/>
  <c r="D44" i="16"/>
  <c r="G44" i="16" s="1"/>
  <c r="H44" i="16" s="1"/>
  <c r="D45" i="16"/>
  <c r="G45" i="16" s="1"/>
  <c r="H45" i="16" s="1"/>
  <c r="D46" i="16"/>
  <c r="G46" i="16" s="1"/>
  <c r="H46" i="16" s="1"/>
  <c r="D47" i="16"/>
  <c r="G47" i="16" s="1"/>
  <c r="H47" i="16" s="1"/>
  <c r="D48" i="16"/>
  <c r="G48" i="16" s="1"/>
  <c r="H48" i="16" s="1"/>
  <c r="D49" i="16"/>
  <c r="G49" i="16" s="1"/>
  <c r="H49" i="16" s="1"/>
  <c r="D50" i="16"/>
  <c r="G50" i="16" s="1"/>
  <c r="H50" i="16" s="1"/>
  <c r="D51" i="16"/>
  <c r="G51" i="16" s="1"/>
  <c r="H51" i="16" s="1"/>
  <c r="D52" i="16"/>
  <c r="G52" i="16" s="1"/>
  <c r="H52" i="16" s="1"/>
  <c r="D53" i="16"/>
  <c r="G53" i="16" s="1"/>
  <c r="H53" i="16" s="1"/>
  <c r="D54" i="16"/>
  <c r="G54" i="16" s="1"/>
  <c r="H54" i="16" s="1"/>
  <c r="D55" i="16"/>
  <c r="G55" i="16" s="1"/>
  <c r="H55" i="16" s="1"/>
  <c r="D56" i="16"/>
  <c r="G56" i="16" s="1"/>
  <c r="H56" i="16" s="1"/>
  <c r="D57" i="16"/>
  <c r="G57" i="16" s="1"/>
  <c r="H57" i="16" s="1"/>
  <c r="D58" i="16"/>
  <c r="G58" i="16" s="1"/>
  <c r="H58" i="16" s="1"/>
  <c r="D59" i="16"/>
  <c r="G59" i="16" s="1"/>
  <c r="H59" i="16" s="1"/>
  <c r="D60" i="16"/>
  <c r="G60" i="16" s="1"/>
  <c r="H60" i="16" s="1"/>
  <c r="D61" i="16"/>
  <c r="G61" i="16" s="1"/>
  <c r="H61" i="16" s="1"/>
  <c r="D62" i="16"/>
  <c r="G62" i="16" s="1"/>
  <c r="H62" i="16" s="1"/>
  <c r="D63" i="16"/>
  <c r="G63" i="16" s="1"/>
  <c r="H63" i="16" s="1"/>
  <c r="D64" i="16"/>
  <c r="G64" i="16" s="1"/>
  <c r="H64" i="16" s="1"/>
  <c r="D65" i="16"/>
  <c r="G65" i="16" s="1"/>
  <c r="H65" i="16" s="1"/>
  <c r="D66" i="16"/>
  <c r="G66" i="16" s="1"/>
  <c r="H66" i="16" s="1"/>
  <c r="D67" i="16"/>
  <c r="G67" i="16" s="1"/>
  <c r="H67" i="16" s="1"/>
  <c r="D68" i="16"/>
  <c r="G68" i="16" s="1"/>
  <c r="H68" i="16" s="1"/>
  <c r="D69" i="16"/>
  <c r="G69" i="16" s="1"/>
  <c r="H69" i="16" s="1"/>
  <c r="D70" i="16"/>
  <c r="G70" i="16" s="1"/>
  <c r="H70" i="16" s="1"/>
  <c r="D71" i="16"/>
  <c r="G71" i="16" s="1"/>
  <c r="H71" i="16" s="1"/>
  <c r="D72" i="16"/>
  <c r="G72" i="16" s="1"/>
  <c r="H72" i="16" s="1"/>
  <c r="D73" i="16"/>
  <c r="G73" i="16" s="1"/>
  <c r="H73" i="16" s="1"/>
  <c r="D74" i="16"/>
  <c r="G74" i="16" s="1"/>
  <c r="H74" i="16" s="1"/>
  <c r="D75" i="16"/>
  <c r="G75" i="16" s="1"/>
  <c r="H75" i="16" s="1"/>
  <c r="D76" i="16"/>
  <c r="G76" i="16" s="1"/>
  <c r="H76" i="16" s="1"/>
  <c r="D77" i="16"/>
  <c r="G77" i="16" s="1"/>
  <c r="H77" i="16" s="1"/>
  <c r="D78" i="16"/>
  <c r="G78" i="16" s="1"/>
  <c r="H78" i="16" s="1"/>
  <c r="D79" i="16"/>
  <c r="G79" i="16" s="1"/>
  <c r="H79" i="16" s="1"/>
  <c r="D80" i="16"/>
  <c r="G80" i="16" s="1"/>
  <c r="H80" i="16" s="1"/>
  <c r="D81" i="16"/>
  <c r="G81" i="16" s="1"/>
  <c r="H81" i="16" s="1"/>
  <c r="D82" i="16"/>
  <c r="G82" i="16" s="1"/>
  <c r="H82" i="16" s="1"/>
  <c r="D83" i="16"/>
  <c r="G83" i="16" s="1"/>
  <c r="H83" i="16" s="1"/>
  <c r="D84" i="16"/>
  <c r="G84" i="16" s="1"/>
  <c r="H84" i="16" s="1"/>
  <c r="D85" i="16"/>
  <c r="G85" i="16" s="1"/>
  <c r="H85" i="16" s="1"/>
  <c r="D86" i="16"/>
  <c r="G86" i="16" s="1"/>
  <c r="H86" i="16" s="1"/>
  <c r="I5" i="16" a="1"/>
  <c r="I5" i="16" s="1"/>
  <c r="I6" i="16" a="1"/>
  <c r="I6" i="16" s="1"/>
  <c r="I7" i="16" a="1"/>
  <c r="I7" i="16" s="1"/>
  <c r="I8" i="16" a="1"/>
  <c r="I8" i="16" s="1"/>
  <c r="I9" i="16" a="1"/>
  <c r="I9" i="16" s="1"/>
  <c r="I10" i="16" a="1"/>
  <c r="I10" i="16" s="1"/>
  <c r="I11" i="16" a="1"/>
  <c r="I11" i="16" s="1"/>
  <c r="I12" i="16" a="1"/>
  <c r="I12" i="16" s="1"/>
  <c r="I13" i="16" a="1"/>
  <c r="I13" i="16" s="1"/>
  <c r="I14" i="16" a="1"/>
  <c r="I14" i="16" s="1"/>
  <c r="I15" i="16" a="1"/>
  <c r="I15" i="16" s="1"/>
  <c r="I16" i="16" a="1"/>
  <c r="I16" i="16" s="1"/>
  <c r="I17" i="16" a="1"/>
  <c r="I17" i="16" s="1"/>
  <c r="I18" i="16" a="1"/>
  <c r="I18" i="16" s="1"/>
  <c r="I19" i="16" a="1"/>
  <c r="I19" i="16" s="1"/>
  <c r="I20" i="16" a="1"/>
  <c r="I20" i="16" s="1"/>
  <c r="I21" i="16" a="1"/>
  <c r="I21" i="16" s="1"/>
  <c r="I22" i="16" a="1"/>
  <c r="I22" i="16" s="1"/>
  <c r="I23" i="16" a="1"/>
  <c r="I23" i="16" s="1"/>
  <c r="I24" i="16" a="1"/>
  <c r="I24" i="16" s="1"/>
  <c r="I25" i="16" a="1"/>
  <c r="I25" i="16" s="1"/>
  <c r="I26" i="16" a="1"/>
  <c r="I26" i="16" s="1"/>
  <c r="I27" i="16" a="1"/>
  <c r="I27" i="16" s="1"/>
  <c r="I28" i="16" a="1"/>
  <c r="I28" i="16" s="1"/>
  <c r="I29" i="16" a="1"/>
  <c r="I29" i="16" s="1"/>
  <c r="I30" i="16" a="1"/>
  <c r="I30" i="16" s="1"/>
  <c r="I31" i="16" a="1"/>
  <c r="I31" i="16" s="1"/>
  <c r="I32" i="16" a="1"/>
  <c r="I32" i="16" s="1"/>
  <c r="I33" i="16" a="1"/>
  <c r="I33" i="16" s="1"/>
  <c r="I34" i="16" a="1"/>
  <c r="I34" i="16" s="1"/>
  <c r="I35" i="16" a="1"/>
  <c r="I35" i="16" s="1"/>
  <c r="I36" i="16" a="1"/>
  <c r="I36" i="16" s="1"/>
  <c r="I37" i="16" a="1"/>
  <c r="I37" i="16" s="1"/>
  <c r="I38" i="16" a="1"/>
  <c r="I38" i="16" s="1"/>
  <c r="I39" i="16" a="1"/>
  <c r="I39" i="16" s="1"/>
  <c r="I40" i="16" a="1"/>
  <c r="I40" i="16" s="1"/>
  <c r="I41" i="16" a="1"/>
  <c r="I41" i="16" s="1"/>
  <c r="I42" i="16" a="1"/>
  <c r="I42" i="16" s="1"/>
  <c r="I43" i="16" a="1"/>
  <c r="I43" i="16" s="1"/>
  <c r="I44" i="16" a="1"/>
  <c r="I44" i="16" s="1"/>
  <c r="I45" i="16" a="1"/>
  <c r="I45" i="16" s="1"/>
  <c r="I46" i="16" a="1"/>
  <c r="I46" i="16" s="1"/>
  <c r="I47" i="16" a="1"/>
  <c r="I47" i="16" s="1"/>
  <c r="I48" i="16" a="1"/>
  <c r="I48" i="16" s="1"/>
  <c r="I49" i="16" a="1"/>
  <c r="I49" i="16" s="1"/>
  <c r="I50" i="16" a="1"/>
  <c r="I50" i="16" s="1"/>
  <c r="I51" i="16" a="1"/>
  <c r="I51" i="16" s="1"/>
  <c r="I52" i="16" a="1"/>
  <c r="I52" i="16" s="1"/>
  <c r="I53" i="16" a="1"/>
  <c r="I53" i="16" s="1"/>
  <c r="I54" i="16" a="1"/>
  <c r="I54" i="16" s="1"/>
  <c r="I55" i="16" a="1"/>
  <c r="I55" i="16" s="1"/>
  <c r="I56" i="16" a="1"/>
  <c r="I56" i="16" s="1"/>
  <c r="I57" i="16" a="1"/>
  <c r="I57" i="16" s="1"/>
  <c r="I58" i="16" a="1"/>
  <c r="I58" i="16" s="1"/>
  <c r="I59" i="16" a="1"/>
  <c r="I59" i="16" s="1"/>
  <c r="I60" i="16" a="1"/>
  <c r="I60" i="16" s="1"/>
  <c r="I61" i="16" a="1"/>
  <c r="I61" i="16" s="1"/>
  <c r="I62" i="16" a="1"/>
  <c r="I62" i="16" s="1"/>
  <c r="I63" i="16" a="1"/>
  <c r="I63" i="16" s="1"/>
  <c r="I64" i="16" a="1"/>
  <c r="I64" i="16" s="1"/>
  <c r="I65" i="16" a="1"/>
  <c r="I65" i="16" s="1"/>
  <c r="I66" i="16" a="1"/>
  <c r="I66" i="16" s="1"/>
  <c r="I67" i="16" a="1"/>
  <c r="I67" i="16" s="1"/>
  <c r="I68" i="16" a="1"/>
  <c r="I68" i="16" s="1"/>
  <c r="I69" i="16" a="1"/>
  <c r="I69" i="16" s="1"/>
  <c r="I70" i="16" a="1"/>
  <c r="I70" i="16" s="1"/>
  <c r="I71" i="16" a="1"/>
  <c r="I71" i="16" s="1"/>
  <c r="I72" i="16" a="1"/>
  <c r="I72" i="16" s="1"/>
  <c r="I73" i="16" a="1"/>
  <c r="I73" i="16" s="1"/>
  <c r="I74" i="16" a="1"/>
  <c r="I74" i="16" s="1"/>
  <c r="I75" i="16" a="1"/>
  <c r="I75" i="16" s="1"/>
  <c r="I76" i="16" a="1"/>
  <c r="I76" i="16" s="1"/>
  <c r="I77" i="16" a="1"/>
  <c r="I77" i="16" s="1"/>
  <c r="I78" i="16" a="1"/>
  <c r="I78" i="16" s="1"/>
  <c r="I79" i="16" a="1"/>
  <c r="I79" i="16" s="1"/>
  <c r="I80" i="16" a="1"/>
  <c r="I80" i="16" s="1"/>
  <c r="I81" i="16" a="1"/>
  <c r="I81" i="16" s="1"/>
  <c r="I82" i="16" a="1"/>
  <c r="I82" i="16" s="1"/>
  <c r="I83" i="16" a="1"/>
  <c r="I83" i="16" s="1"/>
  <c r="I84" i="16" a="1"/>
  <c r="I84" i="16" s="1"/>
  <c r="I85" i="16" a="1"/>
  <c r="I85" i="16" s="1"/>
  <c r="I86" i="16" a="1"/>
  <c r="I86" i="16" s="1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C11" i="24" a="1"/>
  <c r="C11" i="24" s="1"/>
  <c r="F7" i="24"/>
  <c r="C8" i="24" a="1"/>
  <c r="C8" i="24" s="1"/>
  <c r="C7" i="24"/>
  <c r="C10" i="24"/>
  <c r="C9" i="24"/>
  <c r="C13" i="24" s="1"/>
  <c r="F9" i="24"/>
  <c r="C12" i="24" l="1" a="1"/>
  <c r="C12" i="24" s="1"/>
  <c r="K51" i="16"/>
  <c r="K39" i="16"/>
  <c r="K27" i="16"/>
  <c r="K15" i="16"/>
  <c r="K50" i="16"/>
  <c r="K38" i="16"/>
  <c r="K26" i="16"/>
  <c r="K14" i="16"/>
  <c r="K76" i="16"/>
  <c r="K64" i="16"/>
  <c r="K52" i="16"/>
  <c r="K40" i="16"/>
  <c r="K28" i="16"/>
  <c r="K16" i="16"/>
  <c r="K85" i="16"/>
  <c r="K73" i="16"/>
  <c r="K61" i="16"/>
  <c r="K49" i="16"/>
  <c r="K37" i="16"/>
  <c r="K25" i="16"/>
  <c r="K13" i="16"/>
  <c r="K86" i="16"/>
  <c r="K84" i="16"/>
  <c r="K72" i="16"/>
  <c r="K60" i="16"/>
  <c r="K48" i="16"/>
  <c r="K36" i="16"/>
  <c r="K24" i="16"/>
  <c r="K12" i="16"/>
  <c r="K83" i="16"/>
  <c r="K71" i="16"/>
  <c r="K59" i="16"/>
  <c r="K47" i="16"/>
  <c r="K35" i="16"/>
  <c r="K23" i="16"/>
  <c r="K11" i="16"/>
  <c r="K82" i="16"/>
  <c r="K70" i="16"/>
  <c r="K58" i="16"/>
  <c r="K46" i="16"/>
  <c r="K34" i="16"/>
  <c r="K22" i="16"/>
  <c r="K10" i="16"/>
  <c r="K81" i="16"/>
  <c r="K69" i="16"/>
  <c r="K57" i="16"/>
  <c r="K45" i="16"/>
  <c r="K33" i="16"/>
  <c r="K21" i="16"/>
  <c r="K9" i="16"/>
  <c r="K63" i="16"/>
  <c r="K80" i="16"/>
  <c r="K68" i="16"/>
  <c r="K56" i="16"/>
  <c r="K44" i="16"/>
  <c r="K32" i="16"/>
  <c r="K20" i="16"/>
  <c r="K8" i="16"/>
  <c r="K62" i="16"/>
  <c r="K79" i="16"/>
  <c r="K67" i="16"/>
  <c r="K55" i="16"/>
  <c r="K43" i="16"/>
  <c r="K31" i="16"/>
  <c r="K19" i="16"/>
  <c r="K7" i="16"/>
  <c r="K78" i="16"/>
  <c r="K66" i="16"/>
  <c r="K54" i="16"/>
  <c r="K42" i="16"/>
  <c r="K30" i="16"/>
  <c r="K18" i="16"/>
  <c r="K6" i="16"/>
  <c r="K75" i="16"/>
  <c r="K74" i="16"/>
  <c r="K77" i="16"/>
  <c r="K65" i="16"/>
  <c r="K53" i="16"/>
  <c r="K41" i="16"/>
  <c r="K29" i="16"/>
  <c r="K17" i="16"/>
  <c r="K5" i="16"/>
  <c r="L68" i="16"/>
  <c r="L76" i="16"/>
  <c r="A76" i="16"/>
  <c r="A77" i="16"/>
  <c r="A78" i="16"/>
  <c r="A79" i="16"/>
  <c r="A80" i="16"/>
  <c r="A81" i="16"/>
  <c r="A82" i="16"/>
  <c r="A83" i="16"/>
  <c r="A84" i="16"/>
  <c r="A85" i="16"/>
  <c r="A86" i="16"/>
  <c r="A65" i="16"/>
  <c r="A66" i="16"/>
  <c r="A67" i="16"/>
  <c r="A68" i="16"/>
  <c r="A69" i="16"/>
  <c r="A70" i="16"/>
  <c r="A71" i="16"/>
  <c r="A72" i="16"/>
  <c r="A73" i="16"/>
  <c r="A74" i="16"/>
  <c r="A75" i="16"/>
  <c r="A64" i="16"/>
  <c r="A5" i="16"/>
  <c r="L83" i="16" l="1"/>
  <c r="L75" i="16"/>
  <c r="L73" i="16"/>
  <c r="L65" i="16"/>
  <c r="L64" i="16"/>
  <c r="L79" i="16"/>
  <c r="L71" i="16"/>
  <c r="L80" i="16"/>
  <c r="L72" i="16"/>
  <c r="L84" i="16"/>
  <c r="L67" i="16"/>
  <c r="L82" i="16"/>
  <c r="L74" i="16"/>
  <c r="L66" i="16"/>
  <c r="L86" i="16"/>
  <c r="L78" i="16"/>
  <c r="L70" i="16"/>
  <c r="L85" i="16"/>
  <c r="L77" i="16"/>
  <c r="L69" i="16"/>
  <c r="L81" i="16"/>
  <c r="L5" i="16" l="1"/>
  <c r="L6" i="16"/>
  <c r="L7" i="16"/>
  <c r="L8" i="16"/>
  <c r="L9" i="16"/>
  <c r="L10" i="16"/>
  <c r="L11" i="16"/>
  <c r="F8" i="24" s="1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A23" i="16" l="1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B03CA-FAE1-4E2B-92CE-4A2F3FCE02A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77D816A-8CA0-4305-8A4D-B9B2F974C868}" name="WorksheetConnection_E-commerce_Meteora_v2.5.xlsx!TB_Produtos" type="102" refreshedVersion="8" minRefreshableVersion="5">
    <extLst>
      <ext xmlns:x15="http://schemas.microsoft.com/office/spreadsheetml/2010/11/main" uri="{DE250136-89BD-433C-8126-D09CA5730AF9}">
        <x15:connection id="TB_Produtos">
          <x15:rangePr sourceName="_xlcn.WorksheetConnection_Ecommerce_Meteora_v2.5.xlsxTB_Produtos1"/>
        </x15:connection>
      </ext>
    </extLst>
  </connection>
  <connection id="3" xr16:uid="{08458BCE-1A74-4828-A084-2BEA40A40555}" name="WorksheetConnection_E-commerce_Meteora_v2.5.xlsx!TB_Vendas" type="102" refreshedVersion="8" minRefreshableVersion="5">
    <extLst>
      <ext xmlns:x15="http://schemas.microsoft.com/office/spreadsheetml/2010/11/main" uri="{DE250136-89BD-433C-8126-D09CA5730AF9}">
        <x15:connection id="TB_Vendas" autoDelete="1">
          <x15:rangePr sourceName="_xlcn.WorksheetConnection_Ecommerce_Meteora_v2.5.xlsxTB_Vendas1"/>
        </x15:connection>
      </ext>
    </extLst>
  </connection>
  <connection id="4" xr16:uid="{D00C490C-1B1C-40C1-9DF2-89E3B01F5B48}" name="WorksheetConnection_E-commerce_Meteora_v2.5.xlsx!TB_Vendedores" type="102" refreshedVersion="8" minRefreshableVersion="5">
    <extLst>
      <ext xmlns:x15="http://schemas.microsoft.com/office/spreadsheetml/2010/11/main" uri="{DE250136-89BD-433C-8126-D09CA5730AF9}">
        <x15:connection id="TB_Vendedores" autoDelete="1">
          <x15:rangePr sourceName="_xlcn.WorksheetConnection_Ecommerce_Meteora_v2.5.xlsxTB_Vendedor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<sst xmlns="http://schemas.openxmlformats.org/spreadsheetml/2006/main" count="525" uniqueCount="178">
  <si>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</si>
  <si>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</si>
  <si>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</si>
  <si>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</si>
  <si>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</si>
  <si>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</si>
  <si>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</si>
  <si>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</si>
  <si>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</si>
  <si>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</si>
  <si>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</si>
  <si>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</si>
  <si>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</si>
  <si>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</si>
  <si>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</si>
  <si>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</si>
  <si>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</si>
  <si>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</si>
  <si>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</si>
  <si>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</si>
  <si>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</si>
  <si>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</si>
  <si>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</si>
  <si>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</si>
  <si>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</si>
  <si>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</si>
  <si>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</si>
  <si>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</si>
  <si>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</si>
  <si>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</si>
  <si>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</si>
  <si>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</si>
  <si>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</si>
  <si>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</si>
  <si>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</si>
  <si>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</si>
  <si>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</si>
  <si>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</si>
  <si>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</si>
  <si>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</si>
  <si>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</si>
  <si>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</si>
  <si>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</si>
  <si>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</si>
  <si>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</si>
  <si>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</si>
  <si>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</si>
  <si>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</si>
  <si>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</si>
  <si>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</si>
  <si>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</si>
  <si>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</si>
  <si>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</si>
  <si>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</si>
  <si>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</si>
  <si>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</si>
  <si>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</si>
  <si>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</si>
  <si>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</si>
  <si>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</si>
  <si>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</si>
  <si>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</si>
  <si>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</si>
  <si>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</si>
  <si>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</si>
  <si>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</si>
  <si>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</si>
  <si>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</si>
  <si>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</si>
  <si>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</si>
  <si>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</si>
  <si>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</si>
  <si>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</si>
  <si>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</si>
  <si>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</si>
  <si>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</si>
  <si>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</si>
  <si>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</si>
  <si>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</si>
  <si>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</si>
  <si>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</si>
  <si>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</si>
  <si>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</si>
  <si>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</si>
  <si>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</si>
  <si>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</si>
  <si>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</si>
  <si>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</si>
  <si>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</si>
  <si>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</si>
  <si>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</si>
  <si>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</si>
  <si>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</si>
  <si>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</si>
  <si>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</si>
  <si>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</si>
  <si>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</si>
  <si>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</si>
  <si>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</si>
  <si>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</si>
  <si>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</si>
  <si>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</si>
  <si>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</si>
  <si>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</si>
  <si>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</si>
  <si>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</si>
  <si>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</si>
  <si>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</si>
  <si>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</si>
  <si>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</si>
  <si>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</si>
  <si>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</si>
  <si>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</si>
  <si>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</si>
  <si>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</si>
  <si>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</si>
  <si>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</si>
  <si>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</si>
  <si>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</si>
  <si>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</si>
  <si>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</si>
  <si>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</si>
  <si>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</si>
  <si>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</si>
  <si>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</si>
  <si>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</si>
  <si>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</si>
  <si>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</si>
  <si>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</si>
  <si>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</si>
  <si>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</si>
  <si>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</si>
  <si>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</si>
  <si>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</si>
  <si>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</si>
  <si>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</si>
  <si>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</si>
  <si>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</si>
  <si>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</si>
  <si>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</si>
  <si>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</si>
  <si>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</si>
  <si>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</si>
  <si>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</si>
  <si>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</si>
  <si>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</si>
  <si>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</si>
  <si>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</si>
  <si>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</si>
  <si>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</si>
  <si>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</si>
  <si>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</si>
  <si>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</si>
  <si>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</si>
  <si>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</si>
  <si>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Indice</t>
  </si>
  <si>
    <t>Desconto 
(Passo a Passo)</t>
  </si>
  <si>
    <t>Desconto 
(Diretão)</t>
  </si>
  <si>
    <t>Desconto 
(Vendedor)</t>
  </si>
  <si>
    <t>Desconto Final</t>
  </si>
  <si>
    <t>Rótulos de Linha</t>
  </si>
  <si>
    <t>Soma de Preço Unitário</t>
  </si>
  <si>
    <t>Total Geral</t>
  </si>
  <si>
    <t>Soma de Estoque</t>
  </si>
  <si>
    <t>Soma de Qtd</t>
  </si>
  <si>
    <t>Contagem de Produtos</t>
  </si>
  <si>
    <t>jan</t>
  </si>
  <si>
    <t>fev</t>
  </si>
  <si>
    <t>mar</t>
  </si>
  <si>
    <t>abr</t>
  </si>
  <si>
    <t>mai</t>
  </si>
  <si>
    <t>jun</t>
  </si>
  <si>
    <t>jul</t>
  </si>
  <si>
    <t>ago</t>
  </si>
  <si>
    <t>Soma de Total</t>
  </si>
  <si>
    <t>%Catedogia</t>
  </si>
  <si>
    <t>%Restante</t>
  </si>
  <si>
    <t>Informações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</si>
</sst>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  <numFmt numFmtId="166" formatCode="0%;\-0%;0%"/>
  </numFmts>
  <fonts count="29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Montserrat"/>
    </font>
    <font>
      <b/>
      <sz val="22"/>
      <color theme="1"/>
      <name val="Montserrat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2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0" fontId="14" fillId="2" borderId="11" xfId="3" applyFont="1" applyFill="1" applyBorder="1" applyAlignment="1">
      <alignment horizontal="center"/>
    </xf>
    <xf numFmtId="1" fontId="18" fillId="7" borderId="2" xfId="0" applyNumberFormat="1" applyFont="1" applyFill="1" applyBorder="1" applyAlignment="1">
      <alignment horizontal="center"/>
    </xf>
    <xf numFmtId="1" fontId="18" fillId="7" borderId="12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7" fillId="3" borderId="0" xfId="0" applyFont="1" applyFill="1"/>
    <xf numFmtId="0" fontId="1" fillId="7" borderId="0" xfId="0" applyFont="1" applyFill="1" applyAlignment="1">
      <alignment horizontal="center"/>
    </xf>
    <xf numFmtId="0" fontId="19" fillId="3" borderId="0" xfId="0" applyFont="1" applyFill="1" applyAlignment="1">
      <alignment vertical="center"/>
    </xf>
    <xf numFmtId="0" fontId="21" fillId="0" borderId="0" xfId="6" applyFont="1" applyFill="1" applyAlignment="1">
      <alignment horizontal="center"/>
    </xf>
    <xf numFmtId="0" fontId="22" fillId="3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14" fillId="2" borderId="13" xfId="3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15" fillId="0" borderId="2" xfId="5" applyFont="1" applyBorder="1" applyAlignment="1">
      <alignment horizontal="center" vertical="center"/>
    </xf>
    <xf numFmtId="0" fontId="14" fillId="2" borderId="20" xfId="3" applyFont="1" applyFill="1" applyBorder="1" applyAlignment="1">
      <alignment horizontal="center" vertical="center" wrapText="1"/>
    </xf>
    <xf numFmtId="0" fontId="14" fillId="2" borderId="20" xfId="3" applyFont="1" applyFill="1" applyBorder="1" applyAlignment="1">
      <alignment horizontal="center" vertical="center"/>
    </xf>
    <xf numFmtId="9" fontId="15" fillId="0" borderId="20" xfId="5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1" fillId="0" borderId="0" xfId="0" applyFont="1"/>
    <xf numFmtId="0" fontId="25" fillId="0" borderId="0" xfId="0" applyFont="1"/>
    <xf numFmtId="0" fontId="14" fillId="2" borderId="3" xfId="3" applyFont="1" applyFill="1" applyBorder="1" applyAlignment="1">
      <alignment horizontal="center" vertical="center" wrapText="1"/>
    </xf>
    <xf numFmtId="0" fontId="14" fillId="2" borderId="22" xfId="3" applyFont="1" applyFill="1" applyBorder="1" applyAlignment="1">
      <alignment horizontal="center" vertical="center" wrapText="1"/>
    </xf>
    <xf numFmtId="0" fontId="15" fillId="0" borderId="20" xfId="5" applyNumberFormat="1" applyFont="1" applyBorder="1" applyAlignment="1">
      <alignment horizontal="center" vertical="center"/>
    </xf>
    <xf numFmtId="0" fontId="2" fillId="2" borderId="0" xfId="3" applyFill="1" applyBorder="1" applyAlignment="1">
      <alignment horizontal="center" vertical="center" wrapText="1"/>
    </xf>
    <xf numFmtId="0" fontId="16" fillId="2" borderId="0" xfId="3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2" borderId="0" xfId="3" applyFont="1" applyFill="1" applyBorder="1" applyAlignment="1">
      <alignment horizontal="center" vertical="center" wrapText="1"/>
    </xf>
    <xf numFmtId="9" fontId="25" fillId="0" borderId="0" xfId="5" applyFont="1" applyFill="1"/>
    <xf numFmtId="0" fontId="16" fillId="2" borderId="17" xfId="3" applyFont="1" applyFill="1" applyBorder="1" applyAlignment="1">
      <alignment horizontal="right" vertical="center"/>
    </xf>
    <xf numFmtId="0" fontId="16" fillId="2" borderId="6" xfId="3" applyFont="1" applyFill="1" applyBorder="1" applyAlignment="1">
      <alignment horizontal="right" vertical="center"/>
    </xf>
    <xf numFmtId="0" fontId="16" fillId="2" borderId="18" xfId="3" applyFont="1" applyFill="1" applyBorder="1" applyAlignment="1">
      <alignment horizontal="right" vertical="center"/>
    </xf>
    <xf numFmtId="0" fontId="16" fillId="2" borderId="21" xfId="3" applyFont="1" applyFill="1" applyBorder="1" applyAlignment="1">
      <alignment horizontal="right" vertical="center"/>
    </xf>
    <xf numFmtId="0" fontId="23" fillId="8" borderId="14" xfId="0" applyFont="1" applyFill="1" applyBorder="1" applyAlignment="1">
      <alignment horizontal="center" vertical="center"/>
    </xf>
    <xf numFmtId="0" fontId="23" fillId="8" borderId="19" xfId="0" applyFont="1" applyFill="1" applyBorder="1" applyAlignment="1">
      <alignment horizontal="center" vertical="center"/>
    </xf>
    <xf numFmtId="0" fontId="23" fillId="8" borderId="15" xfId="0" applyFont="1" applyFill="1" applyBorder="1" applyAlignment="1">
      <alignment horizontal="center" vertical="center"/>
    </xf>
    <xf numFmtId="165" fontId="23" fillId="8" borderId="15" xfId="0" applyNumberFormat="1" applyFont="1" applyFill="1" applyBorder="1" applyAlignment="1">
      <alignment horizontal="center" vertical="center"/>
    </xf>
    <xf numFmtId="165" fontId="23" fillId="8" borderId="16" xfId="0" applyNumberFormat="1" applyFont="1" applyFill="1" applyBorder="1" applyAlignment="1">
      <alignment horizontal="center" vertical="center"/>
    </xf>
    <xf numFmtId="14" fontId="23" fillId="8" borderId="14" xfId="0" applyNumberFormat="1" applyFont="1" applyFill="1" applyBorder="1" applyAlignment="1">
      <alignment horizontal="center" vertical="center"/>
    </xf>
    <xf numFmtId="0" fontId="23" fillId="8" borderId="16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/>
    <xf numFmtId="0" fontId="0" fillId="0" borderId="0" xfId="0" applyAlignment="1"/>
    <xf numFmtId="0" fontId="0" fillId="0" borderId="0" xfId="0" applyAlignment="1">
      <alignment horizontal="left" indent="1"/>
    </xf>
    <xf numFmtId="0" fontId="14" fillId="2" borderId="25" xfId="3" applyFont="1" applyFill="1" applyBorder="1" applyAlignment="1">
      <alignment horizontal="center" vertical="center"/>
    </xf>
    <xf numFmtId="0" fontId="14" fillId="2" borderId="26" xfId="3" applyFont="1" applyFill="1" applyBorder="1" applyAlignment="1">
      <alignment horizontal="center" vertical="center"/>
    </xf>
    <xf numFmtId="0" fontId="14" fillId="2" borderId="27" xfId="3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9" fontId="15" fillId="0" borderId="24" xfId="5" applyFont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9" fontId="15" fillId="0" borderId="30" xfId="5" applyFon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28" fillId="0" borderId="31" xfId="0" applyFont="1" applyBorder="1"/>
    <xf numFmtId="9" fontId="28" fillId="0" borderId="0" xfId="5" applyFont="1" applyBorder="1" applyAlignment="1">
      <alignment horizontal="center" vertical="center"/>
    </xf>
    <xf numFmtId="9" fontId="28" fillId="0" borderId="32" xfId="5" applyFont="1" applyBorder="1" applyAlignment="1">
      <alignment horizontal="center" vertical="center"/>
    </xf>
    <xf numFmtId="0" fontId="28" fillId="0" borderId="33" xfId="0" applyFont="1" applyBorder="1"/>
    <xf numFmtId="9" fontId="28" fillId="0" borderId="34" xfId="5" applyFont="1" applyBorder="1" applyAlignment="1">
      <alignment horizontal="center" vertical="center"/>
    </xf>
    <xf numFmtId="9" fontId="28" fillId="0" borderId="35" xfId="5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pivotButton="1" applyBorder="1"/>
    <xf numFmtId="0" fontId="0" fillId="0" borderId="0" xfId="0" applyBorder="1"/>
    <xf numFmtId="0" fontId="0" fillId="0" borderId="7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center" vertical="center"/>
    </xf>
    <xf numFmtId="44" fontId="0" fillId="0" borderId="0" xfId="0" applyNumberFormat="1" applyBorder="1"/>
    <xf numFmtId="0" fontId="0" fillId="0" borderId="9" xfId="0" applyBorder="1"/>
    <xf numFmtId="0" fontId="0" fillId="0" borderId="10" xfId="0" applyBorder="1"/>
    <xf numFmtId="0" fontId="0" fillId="3" borderId="0" xfId="0" applyFill="1" applyAlignment="1">
      <alignment horizontal="center"/>
    </xf>
    <xf numFmtId="0" fontId="22" fillId="3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28" fillId="0" borderId="37" xfId="0" applyFont="1" applyBorder="1" applyAlignment="1">
      <alignment horizontal="center"/>
    </xf>
    <xf numFmtId="0" fontId="28" fillId="0" borderId="38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65" fontId="27" fillId="0" borderId="3" xfId="4" applyNumberFormat="1" applyFont="1" applyBorder="1" applyAlignment="1">
      <alignment horizontal="center"/>
    </xf>
    <xf numFmtId="165" fontId="27" fillId="0" borderId="4" xfId="4" applyNumberFormat="1" applyFont="1" applyBorder="1" applyAlignment="1">
      <alignment horizontal="center"/>
    </xf>
    <xf numFmtId="165" fontId="27" fillId="0" borderId="5" xfId="4" applyNumberFormat="1" applyFont="1" applyBorder="1" applyAlignment="1">
      <alignment horizontal="center"/>
    </xf>
    <xf numFmtId="165" fontId="27" fillId="0" borderId="6" xfId="4" applyNumberFormat="1" applyFont="1" applyBorder="1" applyAlignment="1">
      <alignment horizontal="center"/>
    </xf>
    <xf numFmtId="165" fontId="27" fillId="0" borderId="0" xfId="4" applyNumberFormat="1" applyFont="1" applyBorder="1" applyAlignment="1">
      <alignment horizontal="center"/>
    </xf>
    <xf numFmtId="165" fontId="27" fillId="0" borderId="7" xfId="4" applyNumberFormat="1" applyFont="1" applyBorder="1" applyAlignment="1">
      <alignment horizontal="center"/>
    </xf>
    <xf numFmtId="165" fontId="27" fillId="0" borderId="8" xfId="4" applyNumberFormat="1" applyFont="1" applyBorder="1" applyAlignment="1">
      <alignment horizontal="center"/>
    </xf>
    <xf numFmtId="165" fontId="27" fillId="0" borderId="9" xfId="4" applyNumberFormat="1" applyFont="1" applyBorder="1" applyAlignment="1">
      <alignment horizontal="center"/>
    </xf>
    <xf numFmtId="165" fontId="27" fillId="0" borderId="10" xfId="4" applyNumberFormat="1" applyFont="1" applyBorder="1" applyAlignment="1">
      <alignment horizontal="center"/>
    </xf>
    <xf numFmtId="0" fontId="15" fillId="0" borderId="0" xfId="0" applyFont="1"/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47"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numFmt numFmtId="34" formatCode="_-&quot;R$&quot;\ * #,##0.00_-;\-&quot;R$&quot;\ * #,##0.00_-;_-&quot;R$&quot;\ * &quot;-&quot;??_-;_-@_-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numFmt numFmtId="1" formatCode="0"/>
      <fill>
        <patternFill patternType="solid">
          <fgColor indexed="64"/>
          <bgColor rgb="FFCC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Montserrat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EE6471"/>
      <color rgb="FF9353FF"/>
      <color rgb="FFCCCCCC"/>
      <color rgb="FF4472C4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[E-commerce_Meteora_v2.1.xlsx]DN_Vendas!TB_DN_Vendas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DN_Vendas!$B$3</c:f>
              <c:strCache>
                <c:ptCount val="1"/>
                <c:pt idx="0">
                  <c:v>Soma de Qtd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DN_Vendas!$B$4:$B$12</c:f>
              <c:numCache>
                <c:formatCode>General</c:formatCode>
                <c:ptCount val="8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  <c:pt idx="6">
                  <c:v>53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D-47A7-BE5E-FFF8FE99C6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94681119"/>
        <c:axId val="594678239"/>
      </c:barChart>
      <c:lineChart>
        <c:grouping val="standard"/>
        <c:varyColors val="0"/>
        <c:ser>
          <c:idx val="1"/>
          <c:order val="1"/>
          <c:tx>
            <c:strRef>
              <c:f>DN_Vendas!$C$3</c:f>
              <c:strCache>
                <c:ptCount val="1"/>
                <c:pt idx="0">
                  <c:v>Soma de 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DN_Vendas!$C$4:$C$12</c:f>
              <c:numCache>
                <c:formatCode>_("R$"* #,##0.00_);_("R$"* \(#,##0.00\);_("R$"* "-"??_);_(@_)</c:formatCode>
                <c:ptCount val="8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  <c:pt idx="6">
                  <c:v>8602.0999999999985</c:v>
                </c:pt>
                <c:pt idx="7">
                  <c:v>6373.7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D-47A7-BE5E-FFF8FE99C6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4268767"/>
        <c:axId val="634268287"/>
      </c:lineChart>
      <c:catAx>
        <c:axId val="5946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4678239"/>
        <c:crosses val="autoZero"/>
        <c:auto val="1"/>
        <c:lblAlgn val="ctr"/>
        <c:lblOffset val="100"/>
        <c:noMultiLvlLbl val="0"/>
      </c:catAx>
      <c:valAx>
        <c:axId val="59467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4681119"/>
        <c:crosses val="autoZero"/>
        <c:crossBetween val="between"/>
      </c:valAx>
      <c:valAx>
        <c:axId val="634268287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4268767"/>
        <c:crosses val="max"/>
        <c:crossBetween val="between"/>
      </c:valAx>
      <c:catAx>
        <c:axId val="634268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4268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[E-commerce_Meteora_v2.1.xlsx]DN_Vendedores!TB_DN_Vendedores</c:name>
    <c:fmtId val="1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DN_Vendedores!$B$3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DN_Vendedores!$A$4:$A$9</c:f>
              <c:strCache>
                <c:ptCount val="5"/>
                <c:pt idx="0">
                  <c:v>Clara</c:v>
                </c:pt>
                <c:pt idx="1">
                  <c:v>Bruno</c:v>
                </c:pt>
                <c:pt idx="2">
                  <c:v>Amanda</c:v>
                </c:pt>
                <c:pt idx="3">
                  <c:v>Sarah</c:v>
                </c:pt>
                <c:pt idx="4">
                  <c:v>João</c:v>
                </c:pt>
              </c:strCache>
            </c:strRef>
          </c:cat>
          <c:val>
            <c:numRef>
              <c:f>DN_Vendedores!$B$4:$B$9</c:f>
              <c:numCache>
                <c:formatCode>_("R$"* #,##0.00_);_("R$"* \(#,##0.00\);_("R$"* "-"??_);_(@_)</c:formatCode>
                <c:ptCount val="5"/>
                <c:pt idx="0">
                  <c:v>3259.7000000000003</c:v>
                </c:pt>
                <c:pt idx="1">
                  <c:v>6552.6</c:v>
                </c:pt>
                <c:pt idx="2">
                  <c:v>6811.2</c:v>
                </c:pt>
                <c:pt idx="3">
                  <c:v>8079.7</c:v>
                </c:pt>
                <c:pt idx="4">
                  <c:v>8601.5999999999985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9-4ECE-80DD-FCBFCEAFB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76072415"/>
        <c:axId val="1276073855"/>
      </c:barChart>
      <c:catAx>
        <c:axId val="127607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AFF0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073855"/>
        <c:crosses val="autoZero"/>
        <c:auto val="1"/>
        <c:lblAlgn val="ctr"/>
        <c:lblOffset val="100"/>
        <c:noMultiLvlLbl val="0"/>
      </c:catAx>
      <c:valAx>
        <c:axId val="127607385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7607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DN_Vendas!$K$4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8C-4478-9023-AF043F72BB4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8C-4478-9023-AF043F72BB4B}"/>
              </c:ext>
            </c:extLst>
          </c:dPt>
          <c:dLbls>
            <c:delete val="1"/>
          </c:dLbls>
          <c:val>
            <c:numRef>
              <c:f>DN_Vendas!$L$4:$M$4</c:f>
              <c:numCache>
                <c:formatCode>0%</c:formatCode>
                <c:ptCount val="2"/>
                <c:pt idx="0">
                  <c:v>0.15879092503182729</c:v>
                </c:pt>
                <c:pt idx="1">
                  <c:v>-0.84120907496817265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8C-4478-9023-AF043F72BB4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DN_Vendas!$K$5</c:f>
              <c:strCache>
                <c:ptCount val="1"/>
                <c:pt idx="0">
                  <c:v>Calçado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F6-4354-8755-CE19C35179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F6-4354-8755-CE19C3517972}"/>
              </c:ext>
            </c:extLst>
          </c:dPt>
          <c:dLbls>
            <c:delete val="1"/>
          </c:dLbls>
          <c:val>
            <c:numRef>
              <c:f>DN_Vendas!$L$5:$M$5</c:f>
              <c:numCache>
                <c:formatCode>0%</c:formatCode>
                <c:ptCount val="2"/>
                <c:pt idx="0">
                  <c:v>0.10835675338089411</c:v>
                </c:pt>
                <c:pt idx="1">
                  <c:v>-0.89164324661910588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F6-4354-8755-CE19C351797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DN_Vendas!$K$6</c:f>
              <c:strCache>
                <c:ptCount val="1"/>
                <c:pt idx="0">
                  <c:v>Vestuário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BA-4F6E-A035-E72FC1A8EE0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BA-4F6E-A035-E72FC1A8EE02}"/>
              </c:ext>
            </c:extLst>
          </c:dPt>
          <c:dLbls>
            <c:delete val="1"/>
          </c:dLbls>
          <c:val>
            <c:numRef>
              <c:f>DN_Vendas!$L$6:$M$6</c:f>
              <c:numCache>
                <c:formatCode>0%</c:formatCode>
                <c:ptCount val="2"/>
                <c:pt idx="0">
                  <c:v>0.73285232158727887</c:v>
                </c:pt>
                <c:pt idx="1">
                  <c:v>-0.26714767841272113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BA-4F6E-A035-E72FC1A8EE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6" Type="http://schemas.openxmlformats.org/officeDocument/2006/relationships/hyperlink" Target="#Dashboard!A1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hyperlink" Target="#Menu!A1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  <xdr:twoCellAnchor>
    <xdr:from>
      <xdr:col>4</xdr:col>
      <xdr:colOff>571500</xdr:colOff>
      <xdr:row>11</xdr:row>
      <xdr:rowOff>163830</xdr:rowOff>
    </xdr:from>
    <xdr:to>
      <xdr:col>7</xdr:col>
      <xdr:colOff>144780</xdr:colOff>
      <xdr:row>14</xdr:row>
      <xdr:rowOff>139065</xdr:rowOff>
    </xdr:to>
    <xdr:sp macro="" textlink="">
      <xdr:nvSpPr>
        <xdr:cNvPr id="2" name="Retângulo: Cantos Arredondados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38D5E9-5620-4A38-AA8F-62006D67B4E1}"/>
            </a:ext>
          </a:extLst>
        </xdr:cNvPr>
        <xdr:cNvSpPr/>
      </xdr:nvSpPr>
      <xdr:spPr>
        <a:xfrm>
          <a:off x="3009900" y="2154555"/>
          <a:ext cx="140208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466090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1369059</xdr:colOff>
      <xdr:row>0</xdr:row>
      <xdr:rowOff>92394</xdr:rowOff>
    </xdr:from>
    <xdr:to>
      <xdr:col>7</xdr:col>
      <xdr:colOff>566419</xdr:colOff>
      <xdr:row>0</xdr:row>
      <xdr:rowOff>410529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603250</xdr:colOff>
      <xdr:row>0</xdr:row>
      <xdr:rowOff>92394</xdr:rowOff>
    </xdr:from>
    <xdr:to>
      <xdr:col>6</xdr:col>
      <xdr:colOff>709930</xdr:colOff>
      <xdr:row>0</xdr:row>
      <xdr:rowOff>410529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682308</xdr:colOff>
      <xdr:row>0</xdr:row>
      <xdr:rowOff>92394</xdr:rowOff>
    </xdr:from>
    <xdr:to>
      <xdr:col>5</xdr:col>
      <xdr:colOff>510858</xdr:colOff>
      <xdr:row>0</xdr:row>
      <xdr:rowOff>410529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532765</xdr:colOff>
      <xdr:row>0</xdr:row>
      <xdr:rowOff>92394</xdr:rowOff>
    </xdr:from>
    <xdr:to>
      <xdr:col>4</xdr:col>
      <xdr:colOff>582295</xdr:colOff>
      <xdr:row>0</xdr:row>
      <xdr:rowOff>410529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664209</xdr:colOff>
      <xdr:row>0</xdr:row>
      <xdr:rowOff>473709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5</xdr:col>
      <xdr:colOff>400049</xdr:colOff>
      <xdr:row>0</xdr:row>
      <xdr:rowOff>95250</xdr:rowOff>
    </xdr:from>
    <xdr:to>
      <xdr:col>7</xdr:col>
      <xdr:colOff>22859</xdr:colOff>
      <xdr:row>0</xdr:row>
      <xdr:rowOff>396240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304800</xdr:colOff>
      <xdr:row>0</xdr:row>
      <xdr:rowOff>95250</xdr:rowOff>
    </xdr:from>
    <xdr:to>
      <xdr:col>4</xdr:col>
      <xdr:colOff>1274445</xdr:colOff>
      <xdr:row>0</xdr:row>
      <xdr:rowOff>396240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858203</xdr:colOff>
      <xdr:row>0</xdr:row>
      <xdr:rowOff>95250</xdr:rowOff>
    </xdr:from>
    <xdr:to>
      <xdr:col>4</xdr:col>
      <xdr:colOff>168593</xdr:colOff>
      <xdr:row>0</xdr:row>
      <xdr:rowOff>396240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1501140</xdr:colOff>
      <xdr:row>0</xdr:row>
      <xdr:rowOff>95250</xdr:rowOff>
    </xdr:from>
    <xdr:to>
      <xdr:col>3</xdr:col>
      <xdr:colOff>777240</xdr:colOff>
      <xdr:row>0</xdr:row>
      <xdr:rowOff>396240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158115</xdr:colOff>
      <xdr:row>0</xdr:row>
      <xdr:rowOff>76200</xdr:rowOff>
    </xdr:from>
    <xdr:to>
      <xdr:col>1</xdr:col>
      <xdr:colOff>553719</xdr:colOff>
      <xdr:row>0</xdr:row>
      <xdr:rowOff>477519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" y="76200"/>
          <a:ext cx="395604" cy="401319"/>
        </a:xfrm>
        <a:prstGeom prst="rect">
          <a:avLst/>
        </a:prstGeom>
      </xdr:spPr>
    </xdr:pic>
    <xdr:clientData/>
  </xdr:twoCellAnchor>
  <xdr:twoCellAnchor editAs="absolute">
    <xdr:from>
      <xdr:col>9</xdr:col>
      <xdr:colOff>209549</xdr:colOff>
      <xdr:row>0</xdr:row>
      <xdr:rowOff>91440</xdr:rowOff>
    </xdr:from>
    <xdr:to>
      <xdr:col>9</xdr:col>
      <xdr:colOff>936307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725805</xdr:colOff>
      <xdr:row>0</xdr:row>
      <xdr:rowOff>91440</xdr:rowOff>
    </xdr:from>
    <xdr:to>
      <xdr:col>8</xdr:col>
      <xdr:colOff>607695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498476</xdr:colOff>
      <xdr:row>0</xdr:row>
      <xdr:rowOff>91440</xdr:rowOff>
    </xdr:from>
    <xdr:to>
      <xdr:col>7</xdr:col>
      <xdr:colOff>608648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591185</xdr:colOff>
      <xdr:row>0</xdr:row>
      <xdr:rowOff>91440</xdr:rowOff>
    </xdr:from>
    <xdr:to>
      <xdr:col>6</xdr:col>
      <xdr:colOff>398463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1171574</xdr:colOff>
      <xdr:row>0</xdr:row>
      <xdr:rowOff>85725</xdr:rowOff>
    </xdr:from>
    <xdr:to>
      <xdr:col>5</xdr:col>
      <xdr:colOff>398144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304800</xdr:colOff>
      <xdr:row>0</xdr:row>
      <xdr:rowOff>85725</xdr:rowOff>
    </xdr:from>
    <xdr:to>
      <xdr:col>4</xdr:col>
      <xdr:colOff>502920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212408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507024</xdr:colOff>
      <xdr:row>0</xdr:row>
      <xdr:rowOff>34436</xdr:rowOff>
    </xdr:from>
    <xdr:to>
      <xdr:col>2</xdr:col>
      <xdr:colOff>1238251</xdr:colOff>
      <xdr:row>1</xdr:row>
      <xdr:rowOff>21394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a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834" y="34436"/>
              <a:ext cx="3170799" cy="6059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19050</xdr:colOff>
      <xdr:row>5</xdr:row>
      <xdr:rowOff>53800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2</xdr:col>
      <xdr:colOff>53706</xdr:colOff>
      <xdr:row>10</xdr:row>
      <xdr:rowOff>35975</xdr:rowOff>
    </xdr:from>
    <xdr:to>
      <xdr:col>79</xdr:col>
      <xdr:colOff>124240</xdr:colOff>
      <xdr:row>23</xdr:row>
      <xdr:rowOff>78105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18097</xdr:colOff>
      <xdr:row>27</xdr:row>
      <xdr:rowOff>21907</xdr:rowOff>
    </xdr:from>
    <xdr:to>
      <xdr:col>79</xdr:col>
      <xdr:colOff>102870</xdr:colOff>
      <xdr:row>45</xdr:row>
      <xdr:rowOff>114300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130173</xdr:colOff>
      <xdr:row>27</xdr:row>
      <xdr:rowOff>3079</xdr:rowOff>
    </xdr:from>
    <xdr:to>
      <xdr:col>13</xdr:col>
      <xdr:colOff>126363</xdr:colOff>
      <xdr:row>46</xdr:row>
      <xdr:rowOff>20532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127001</xdr:colOff>
      <xdr:row>27</xdr:row>
      <xdr:rowOff>2931</xdr:rowOff>
    </xdr:from>
    <xdr:to>
      <xdr:col>27</xdr:col>
      <xdr:colOff>3810</xdr:colOff>
      <xdr:row>46</xdr:row>
      <xdr:rowOff>20108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3810</xdr:colOff>
      <xdr:row>26</xdr:row>
      <xdr:rowOff>116629</xdr:rowOff>
    </xdr:from>
    <xdr:to>
      <xdr:col>39</xdr:col>
      <xdr:colOff>129733</xdr:colOff>
      <xdr:row>46</xdr:row>
      <xdr:rowOff>20109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111125</xdr:colOff>
      <xdr:row>36</xdr:row>
      <xdr:rowOff>28363</xdr:rowOff>
    </xdr:from>
    <xdr:to>
      <xdr:col>23</xdr:col>
      <xdr:colOff>45719</xdr:colOff>
      <xdr:row>40</xdr:row>
      <xdr:rowOff>28363</xdr:rowOff>
    </xdr:to>
    <xdr:sp macro="" textlink="DN_Vendas!L5">
      <xdr:nvSpPr>
        <xdr:cNvPr id="9" name="CaixaDeTexto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2360083" y="4409863"/>
          <a:ext cx="728344" cy="486833"/>
        </a:xfrm>
        <a:prstGeom prst="rect">
          <a:avLst/>
        </a:prstGeom>
      </xdr:spPr>
      <xdr:txBody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fld id="{95F0432A-C4AF-4759-94B2-587418F209E8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11%</a:t>
          </a:fld>
          <a:endParaRPr lang="pt-BR" sz="40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47625</xdr:colOff>
      <xdr:row>35</xdr:row>
      <xdr:rowOff>111125</xdr:rowOff>
    </xdr:from>
    <xdr:to>
      <xdr:col>10</xdr:col>
      <xdr:colOff>114510</xdr:colOff>
      <xdr:row>39</xdr:row>
      <xdr:rowOff>113030</xdr:rowOff>
    </xdr:to>
    <xdr:sp macro="" textlink="DN_Vendas!L4">
      <xdr:nvSpPr>
        <xdr:cNvPr id="10" name="CaixaDeTexto 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709083" y="4370917"/>
          <a:ext cx="728344" cy="488738"/>
        </a:xfrm>
        <a:prstGeom prst="rect">
          <a:avLst/>
        </a:prstGeom>
      </xdr:spPr>
      <xdr:txBody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fld id="{E5215543-484E-4C13-91BB-D2D5EB882B44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16%</a:t>
          </a:fld>
          <a:endParaRPr lang="pt-BR" sz="40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81</xdr:col>
      <xdr:colOff>41412</xdr:colOff>
      <xdr:row>4</xdr:row>
      <xdr:rowOff>33130</xdr:rowOff>
    </xdr:from>
    <xdr:to>
      <xdr:col>86</xdr:col>
      <xdr:colOff>117770</xdr:colOff>
      <xdr:row>6</xdr:row>
      <xdr:rowOff>89452</xdr:rowOff>
    </xdr:to>
    <xdr:sp macro="" textlink="">
      <xdr:nvSpPr>
        <xdr:cNvPr id="11" name="Retângulo: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EA899DF-A3F2-4AF6-B451-F8A5DDF589A1}"/>
            </a:ext>
          </a:extLst>
        </xdr:cNvPr>
        <xdr:cNvSpPr/>
      </xdr:nvSpPr>
      <xdr:spPr>
        <a:xfrm>
          <a:off x="10775673" y="530087"/>
          <a:ext cx="738967" cy="304800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0.30516</cdr:x>
      <cdr:y>0.47606</cdr:y>
    </cdr:from>
    <cdr:to>
      <cdr:x>0.73088</cdr:x>
      <cdr:y>0.68465</cdr:y>
    </cdr:to>
    <cdr:sp macro="" textlink="DN_Vendas!$L$6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19ABC9FD-669F-F1A7-7CD1-00E7FAC749C9}"/>
            </a:ext>
          </a:extLst>
        </cdr:cNvPr>
        <cdr:cNvSpPr txBox="1"/>
      </cdr:nvSpPr>
      <cdr:spPr>
        <a:xfrm xmlns:a="http://schemas.openxmlformats.org/drawingml/2006/main">
          <a:off x="523452" y="1111038"/>
          <a:ext cx="730249" cy="4868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ED9C8EB-9777-4956-B663-B3F1F9E0E549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73%</a:t>
          </a:fld>
          <a:endParaRPr lang="pt-BR" sz="2000" b="1">
            <a:solidFill>
              <a:schemeClr val="bg1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r Oliveira" refreshedDate="45964.981044675929" createdVersion="8" refreshedVersion="8" minRefreshableVersion="3" recordCount="60" xr:uid="{81AABAE0-BF47-4AEB-9948-409A76DFC56B}">
  <cacheSource type="worksheet">
    <worksheetSource name="TB_Produtos"/>
  </cacheSource>
  <cacheFields count="6">
    <cacheField name="Código" numFmtId="0">
      <sharedItems count="60">
        <s v="PR001"/>
        <s v="PR002"/>
        <s v="PR003"/>
        <s v="PR004"/>
        <s v="PR005"/>
        <s v="PR006"/>
        <s v="PR007"/>
        <s v="PR008"/>
        <s v="PR009"/>
        <s v="PR010"/>
        <s v="PR011"/>
        <s v="PR012"/>
        <s v="PR013"/>
        <s v="PR014"/>
        <s v="PR015"/>
        <s v="PR016"/>
        <s v="PR017"/>
        <s v="PR018"/>
        <s v="PR019"/>
        <s v="PR020"/>
        <s v="PR021"/>
        <s v="PR022"/>
        <s v="PR023"/>
        <s v="PR024"/>
        <s v="PR025"/>
        <s v="PR026"/>
        <s v="PR027"/>
        <s v="PR028"/>
        <s v="PR029"/>
        <s v="PR030"/>
        <s v="PR031"/>
        <s v="PR032"/>
        <s v="PR033"/>
        <s v="PR034"/>
        <s v="PR035"/>
        <s v="PR036"/>
        <s v="PR037"/>
        <s v="PR038"/>
        <s v="PR039"/>
        <s v="PR040"/>
        <s v="PR041"/>
        <s v="PR042"/>
        <s v="PR043"/>
        <s v="PR044"/>
        <s v="PR045"/>
        <s v="PR046"/>
        <s v="PR047"/>
        <s v="PR048"/>
        <s v="PR049"/>
        <s v="PR050"/>
        <s v="PR051"/>
        <s v="PR052"/>
        <s v="PR053"/>
        <s v="PR054"/>
        <s v="PR055"/>
        <s v="PR056"/>
        <s v="PR057"/>
        <s v="PR058"/>
        <s v="PR059"/>
        <s v="PR060"/>
      </sharedItems>
    </cacheField>
    <cacheField name="Produtos" numFmtId="0">
      <sharedItems count="25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Chunky"/>
        <s v="Vestido curto"/>
        <s v="Vestido longo"/>
        <s v="Camiseta Conforto"/>
        <s v="Vestido Floral"/>
        <s v="Jaqueta de Couro"/>
        <s v="Camiseta Listrada"/>
        <s v="Saia Plissada"/>
        <s v="Sandália Rasteira"/>
        <s v="Calça Alfaiataria"/>
      </sharedItems>
    </cacheField>
    <cacheField name="Tamanho" numFmtId="0">
      <sharedItems containsMixedTypes="1" containsNumber="1" containsInteger="1" minValue="35" maxValue="38" count="8">
        <s v="P"/>
        <s v="M"/>
        <s v="G"/>
        <s v="Único"/>
        <n v="36"/>
        <n v="37"/>
        <n v="38"/>
        <n v="35"/>
      </sharedItems>
    </cacheField>
    <cacheField name="Categoria" numFmtId="0">
      <sharedItems count="3">
        <s v="Vestuário"/>
        <s v="Acessórios"/>
        <s v="Calçado"/>
      </sharedItems>
    </cacheField>
    <cacheField name="Estoque" numFmtId="0">
      <sharedItems containsSemiMixedTypes="0" containsString="0" containsNumber="1" containsInteger="1" minValue="0" maxValue="50"/>
    </cacheField>
    <cacheField name="Preço Unitário" numFmtId="0">
      <sharedItems containsSemiMixedTypes="0" containsString="0" containsNumber="1" minValue="25.9" maxValue="349.9" count="36">
        <n v="65.900000000000006"/>
        <n v="69.900000000000006"/>
        <n v="70.900000000000006"/>
        <n v="145"/>
        <n v="259.89999999999998"/>
        <n v="39.9"/>
        <n v="85.9"/>
        <n v="89.9"/>
        <n v="92.9"/>
        <n v="44.9"/>
        <n v="46.9"/>
        <n v="48.9"/>
        <n v="42.5"/>
        <n v="25.9"/>
        <n v="29.9"/>
        <n v="32.9"/>
        <n v="49.9"/>
        <n v="299.89999999999998"/>
        <n v="302.89999999999998"/>
        <n v="300"/>
        <n v="249.9"/>
        <n v="349.9"/>
        <n v="120"/>
        <n v="255"/>
        <n v="245"/>
        <n v="250"/>
        <n v="91.4"/>
        <n v="93.5"/>
        <n v="140"/>
        <n v="142.9"/>
        <n v="146"/>
        <n v="70"/>
        <n v="54.9"/>
        <n v="72.5"/>
        <n v="289.89999999999998"/>
        <n v="180"/>
      </sharedItems>
    </cacheField>
  </cacheFields>
  <extLst>
    <ext xmlns:x14="http://schemas.microsoft.com/office/spreadsheetml/2009/9/main" uri="{725AE2AE-9491-48be-B2B4-4EB974FC3084}">
      <x14:pivotCacheDefinition pivotCacheId="185395764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71.97020462963" backgroundQuery="1" createdVersion="8" refreshedVersion="8" minRefreshableVersion="3" recordCount="0" supportSubquery="1" supportAdvancedDrill="1" xr:uid="{937ED491-42A0-4DB5-A76C-B4B0BF0B888A}">
  <cacheSource type="external" connectionId="1"/>
  <cacheFields count="4">
    <cacheField name="[TB_Vendas].[Categoria].[Categoria]" caption="Categoria" numFmtId="0" hierarchy="9" level="1">
      <sharedItems count="3">
        <s v="Acessórios"/>
        <s v="Calçado"/>
        <s v="Vestuário"/>
      </sharedItems>
    </cacheField>
    <cacheField name="[Measures].[%Catedogia]" caption="%Catedogia" numFmtId="0" hierarchy="31" level="32767"/>
    <cacheField name="[Measures].[%Restante]" caption="%Restante" numFmtId="0" hierarchy="32" level="32767"/>
    <cacheField name="[Measures].[Soma de Total]" caption="Soma de Total" numFmtId="0" hierarchy="26" level="32767"/>
  </cacheFields>
  <cacheHierarchies count="37"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dade]" caption="Cidade" attribute="1" defaultMemberUniqueName="[TB_Vendedores].[Cidade].[All]" allUniqueName="[TB_Vendedores].[Cidade].[All]" dimensionUniqueName="[TB_Vendedores]" displayFolder="" count="0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0" memberValueDatatype="5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Measures].[Soma de Qtd]" caption="Soma de Qtd" measure="1" displayFolder="" measureGroup="TB_Venda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]" caption="Soma de Total" measure="1" displayFolder="" measureGroup="TB_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édia de Total]" caption="Média de Total" measure="1" displayFolder="" measureGroup="TB_Venda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Vendas]" caption="Soma de Vendas" measure="1" displayFolder="" measureGroup="TB_Vendas" count="0"/>
    <cacheHierarchy uniqueName="[Measures].[Soma de Totais]" caption="Soma de Totais" measure="1" displayFolder="" measureGroup="TB_Vendas" count="0"/>
    <cacheHierarchy uniqueName="[Measures].[%Catedogia]" caption="%Catedogia" measure="1" displayFolder="" measureGroup="TB_Vendas" count="0" oneField="1">
      <fieldsUsage count="1">
        <fieldUsage x="1"/>
      </fieldsUsage>
    </cacheHierarchy>
    <cacheHierarchy uniqueName="[Measures].[%Restante]" caption="%Restante" measure="1" displayFolder="" measureGroup="TB_Vendas" count="0" oneField="1">
      <fieldsUsage count="1">
        <fieldUsage x="2"/>
      </fieldsUsage>
    </cacheHierarchy>
    <cacheHierarchy uniqueName="[Measures].[__XL_Count TB_Vendas]" caption="__XL_Count TB_Vendas" measure="1" displayFolder="" measureGroup="TB_Vendas" count="0" hidden="1"/>
    <cacheHierarchy uniqueName="[Measures].[__XL_Count TB_Produtos]" caption="__XL_Count TB_Produtos" measure="1" displayFolder="" measureGroup="TB_Produtos" count="0" hidden="1"/>
    <cacheHierarchy uniqueName="[Measures].[__XL_Count TB_Vendedores]" caption="__XL_Count TB_Vendedores" measure="1" displayFolder="" measureGroup="TB_Vendedores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edores" uniqueName="[TB_Vendedores]" caption="TB_Vendedores"/>
  </dimensions>
  <measureGroups count="3">
    <measureGroup name="TB_Produtos" caption="TB_Produtos"/>
    <measureGroup name="TB_Vendas" caption="TB_Vendas"/>
    <measureGroup name="TB_Vendedores" caption="TB_Vendedores"/>
  </measureGroups>
  <maps count="4">
    <map measureGroup="0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72.909630787035" backgroundQuery="1" createdVersion="8" refreshedVersion="8" minRefreshableVersion="3" recordCount="0" supportSubquery="1" supportAdvancedDrill="1" xr:uid="{7816A99C-CC69-4886-BE29-B5A0AA6DDB24}">
  <cacheSource type="external" connectionId="1"/>
  <cacheFields count="3">
    <cacheField name="[TB_Vendas].[Data (Mês)].[Data (Mês)]" caption="Data (Mês)" numFmtId="0" hierarchy="19" level="1">
      <sharedItems count="8">
        <s v="jan"/>
        <s v="fev"/>
        <s v="mar"/>
        <s v="abr"/>
        <s v="mai"/>
        <s v="jun"/>
        <s v="jul"/>
        <s v="ago"/>
      </sharedItems>
    </cacheField>
    <cacheField name="[Measures].[Soma de Qtd]" caption="Soma de Qtd" numFmtId="0" hierarchy="25" level="32767"/>
    <cacheField name="[Measures].[Soma de Total]" caption="Soma de Total" numFmtId="0" hierarchy="26" level="32767"/>
  </cacheFields>
  <cacheHierarchies count="37"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2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dade]" caption="Cidade" attribute="1" defaultMemberUniqueName="[TB_Vendedores].[Cidade].[All]" allUniqueName="[TB_Vendedores].[Cidade].[All]" dimensionUniqueName="[TB_Vendedores]" displayFolder="" count="0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0" memberValueDatatype="5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Measures].[Soma de Qtd]" caption="Soma de Qtd" measure="1" displayFolder="" measureGroup="TB_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]" caption="Soma de Total" measure="1" displayFolder="" measureGroup="TB_Vend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édia de Total]" caption="Média de Total" measure="1" displayFolder="" measureGroup="TB_Venda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Vendas]" caption="Soma de Vendas" measure="1" displayFolder="" measureGroup="TB_Vendas" count="0"/>
    <cacheHierarchy uniqueName="[Measures].[Soma de Totais]" caption="Soma de Totais" measure="1" displayFolder="" measureGroup="TB_Vendas" count="0"/>
    <cacheHierarchy uniqueName="[Measures].[%Catedogia]" caption="%Catedogia" measure="1" displayFolder="" measureGroup="TB_Vendas" count="0"/>
    <cacheHierarchy uniqueName="[Measures].[%Restante]" caption="%Restante" measure="1" displayFolder="" measureGroup="TB_Vendas" count="0"/>
    <cacheHierarchy uniqueName="[Measures].[__XL_Count TB_Vendas]" caption="__XL_Count TB_Vendas" measure="1" displayFolder="" measureGroup="TB_Vendas" count="0" hidden="1"/>
    <cacheHierarchy uniqueName="[Measures].[__XL_Count TB_Produtos]" caption="__XL_Count TB_Produtos" measure="1" displayFolder="" measureGroup="TB_Produtos" count="0" hidden="1"/>
    <cacheHierarchy uniqueName="[Measures].[__XL_Count TB_Vendedores]" caption="__XL_Count TB_Vendedores" measure="1" displayFolder="" measureGroup="TB_Vendedores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edores" uniqueName="[TB_Vendedores]" caption="TB_Vendedores"/>
  </dimensions>
  <measureGroups count="3">
    <measureGroup name="TB_Produtos" caption="TB_Produtos"/>
    <measureGroup name="TB_Vendas" caption="TB_Vendas"/>
    <measureGroup name="TB_Vendedores" caption="TB_Vendedores"/>
  </measureGroups>
  <maps count="4">
    <map measureGroup="0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72.910432870369" backgroundQuery="1" createdVersion="8" refreshedVersion="8" minRefreshableVersion="3" recordCount="0" supportSubquery="1" supportAdvancedDrill="1" xr:uid="{D696988D-668B-48A2-A401-8C9C744C6F3D}">
  <cacheSource type="external" connectionId="1"/>
  <cacheFields count="2">
    <cacheField name="[TB_Vendedores].[Vendedor].[Vendedor]" caption="Vendedor" numFmtId="0" hierarchy="21" level="1">
      <sharedItems count="5">
        <s v="Amanda"/>
        <s v="Bruno"/>
        <s v="Clara"/>
        <s v="João"/>
        <s v="Sarah"/>
      </sharedItems>
    </cacheField>
    <cacheField name="[Measures].[Soma de Total]" caption="Soma de Total" numFmtId="0" hierarchy="26" level="32767"/>
  </cacheFields>
  <cacheHierarchies count="37"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2" memberValueDatatype="130" unbalanced="0">
      <fieldsUsage count="2">
        <fieldUsage x="-1"/>
        <fieldUsage x="0"/>
      </fieldsUsage>
    </cacheHierarchy>
    <cacheHierarchy uniqueName="[TB_Vendedores].[Cidade]" caption="Cidade" attribute="1" defaultMemberUniqueName="[TB_Vendedores].[Cidade].[All]" allUniqueName="[TB_Vendedores].[Cidade].[All]" dimensionUniqueName="[TB_Vendedores]" displayFolder="" count="0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0" memberValueDatatype="5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Measures].[Soma de Qtd]" caption="Soma de Qtd" measure="1" displayFolder="" measureGroup="TB_Venda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]" caption="Soma de Total" measure="1" displayFolder="" measureGroup="TB_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édia de Total]" caption="Média de Total" measure="1" displayFolder="" measureGroup="TB_Venda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Vendas]" caption="Soma de Vendas" measure="1" displayFolder="" measureGroup="TB_Vendas" count="0"/>
    <cacheHierarchy uniqueName="[Measures].[Soma de Totais]" caption="Soma de Totais" measure="1" displayFolder="" measureGroup="TB_Vendas" count="0"/>
    <cacheHierarchy uniqueName="[Measures].[%Catedogia]" caption="%Catedogia" measure="1" displayFolder="" measureGroup="TB_Vendas" count="0"/>
    <cacheHierarchy uniqueName="[Measures].[%Restante]" caption="%Restante" measure="1" displayFolder="" measureGroup="TB_Vendas" count="0"/>
    <cacheHierarchy uniqueName="[Measures].[__XL_Count TB_Vendas]" caption="__XL_Count TB_Vendas" measure="1" displayFolder="" measureGroup="TB_Vendas" count="0" hidden="1"/>
    <cacheHierarchy uniqueName="[Measures].[__XL_Count TB_Produtos]" caption="__XL_Count TB_Produtos" measure="1" displayFolder="" measureGroup="TB_Produtos" count="0" hidden="1"/>
    <cacheHierarchy uniqueName="[Measures].[__XL_Count TB_Vendedores]" caption="__XL_Count TB_Vendedores" measure="1" displayFolder="" measureGroup="TB_Vendedores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edores" uniqueName="[TB_Vendedores]" caption="TB_Vendedores"/>
  </dimensions>
  <measureGroups count="3">
    <measureGroup name="TB_Produtos" caption="TB_Produtos"/>
    <measureGroup name="TB_Vendas" caption="TB_Vendas"/>
    <measureGroup name="TB_Vendedores" caption="TB_Vendedores"/>
  </measureGroups>
  <maps count="4">
    <map measureGroup="0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x v="0"/>
    <n v="48"/>
    <x v="0"/>
  </r>
  <r>
    <x v="1"/>
    <x v="0"/>
    <x v="1"/>
    <x v="0"/>
    <n v="17"/>
    <x v="1"/>
  </r>
  <r>
    <x v="2"/>
    <x v="0"/>
    <x v="2"/>
    <x v="0"/>
    <n v="25"/>
    <x v="2"/>
  </r>
  <r>
    <x v="3"/>
    <x v="1"/>
    <x v="3"/>
    <x v="1"/>
    <n v="36"/>
    <x v="3"/>
  </r>
  <r>
    <x v="4"/>
    <x v="2"/>
    <x v="3"/>
    <x v="1"/>
    <n v="21"/>
    <x v="4"/>
  </r>
  <r>
    <x v="5"/>
    <x v="3"/>
    <x v="3"/>
    <x v="1"/>
    <n v="23"/>
    <x v="5"/>
  </r>
  <r>
    <x v="6"/>
    <x v="4"/>
    <x v="0"/>
    <x v="0"/>
    <n v="24"/>
    <x v="6"/>
  </r>
  <r>
    <x v="7"/>
    <x v="4"/>
    <x v="1"/>
    <x v="0"/>
    <n v="35"/>
    <x v="7"/>
  </r>
  <r>
    <x v="8"/>
    <x v="4"/>
    <x v="2"/>
    <x v="0"/>
    <n v="47"/>
    <x v="8"/>
  </r>
  <r>
    <x v="9"/>
    <x v="5"/>
    <x v="0"/>
    <x v="0"/>
    <n v="42"/>
    <x v="9"/>
  </r>
  <r>
    <x v="10"/>
    <x v="5"/>
    <x v="1"/>
    <x v="0"/>
    <n v="32"/>
    <x v="10"/>
  </r>
  <r>
    <x v="11"/>
    <x v="5"/>
    <x v="2"/>
    <x v="0"/>
    <n v="45"/>
    <x v="11"/>
  </r>
  <r>
    <x v="12"/>
    <x v="6"/>
    <x v="0"/>
    <x v="0"/>
    <n v="19"/>
    <x v="5"/>
  </r>
  <r>
    <x v="13"/>
    <x v="6"/>
    <x v="1"/>
    <x v="0"/>
    <n v="37"/>
    <x v="5"/>
  </r>
  <r>
    <x v="14"/>
    <x v="6"/>
    <x v="2"/>
    <x v="0"/>
    <n v="16"/>
    <x v="12"/>
  </r>
  <r>
    <x v="15"/>
    <x v="7"/>
    <x v="0"/>
    <x v="0"/>
    <n v="43"/>
    <x v="13"/>
  </r>
  <r>
    <x v="16"/>
    <x v="8"/>
    <x v="1"/>
    <x v="0"/>
    <n v="46"/>
    <x v="14"/>
  </r>
  <r>
    <x v="17"/>
    <x v="8"/>
    <x v="2"/>
    <x v="0"/>
    <n v="0"/>
    <x v="15"/>
  </r>
  <r>
    <x v="18"/>
    <x v="9"/>
    <x v="3"/>
    <x v="1"/>
    <n v="2"/>
    <x v="16"/>
  </r>
  <r>
    <x v="19"/>
    <x v="10"/>
    <x v="0"/>
    <x v="0"/>
    <n v="34"/>
    <x v="17"/>
  </r>
  <r>
    <x v="20"/>
    <x v="10"/>
    <x v="1"/>
    <x v="0"/>
    <n v="34"/>
    <x v="18"/>
  </r>
  <r>
    <x v="21"/>
    <x v="10"/>
    <x v="2"/>
    <x v="0"/>
    <n v="35"/>
    <x v="19"/>
  </r>
  <r>
    <x v="22"/>
    <x v="11"/>
    <x v="0"/>
    <x v="0"/>
    <n v="49"/>
    <x v="20"/>
  </r>
  <r>
    <x v="23"/>
    <x v="11"/>
    <x v="1"/>
    <x v="0"/>
    <n v="16"/>
    <x v="4"/>
  </r>
  <r>
    <x v="24"/>
    <x v="11"/>
    <x v="2"/>
    <x v="0"/>
    <n v="41"/>
    <x v="17"/>
  </r>
  <r>
    <x v="25"/>
    <x v="12"/>
    <x v="3"/>
    <x v="1"/>
    <n v="32"/>
    <x v="21"/>
  </r>
  <r>
    <x v="26"/>
    <x v="13"/>
    <x v="3"/>
    <x v="1"/>
    <n v="45"/>
    <x v="22"/>
  </r>
  <r>
    <x v="27"/>
    <x v="14"/>
    <x v="4"/>
    <x v="2"/>
    <n v="37"/>
    <x v="20"/>
  </r>
  <r>
    <x v="28"/>
    <x v="14"/>
    <x v="5"/>
    <x v="2"/>
    <n v="41"/>
    <x v="23"/>
  </r>
  <r>
    <x v="29"/>
    <x v="14"/>
    <x v="6"/>
    <x v="2"/>
    <n v="30"/>
    <x v="4"/>
  </r>
  <r>
    <x v="30"/>
    <x v="15"/>
    <x v="4"/>
    <x v="2"/>
    <n v="27"/>
    <x v="24"/>
  </r>
  <r>
    <x v="31"/>
    <x v="15"/>
    <x v="5"/>
    <x v="2"/>
    <n v="41"/>
    <x v="25"/>
  </r>
  <r>
    <x v="32"/>
    <x v="15"/>
    <x v="6"/>
    <x v="2"/>
    <n v="43"/>
    <x v="4"/>
  </r>
  <r>
    <x v="33"/>
    <x v="16"/>
    <x v="0"/>
    <x v="0"/>
    <n v="43"/>
    <x v="7"/>
  </r>
  <r>
    <x v="34"/>
    <x v="16"/>
    <x v="1"/>
    <x v="0"/>
    <n v="18"/>
    <x v="26"/>
  </r>
  <r>
    <x v="35"/>
    <x v="16"/>
    <x v="2"/>
    <x v="0"/>
    <n v="45"/>
    <x v="27"/>
  </r>
  <r>
    <x v="36"/>
    <x v="17"/>
    <x v="0"/>
    <x v="0"/>
    <n v="34"/>
    <x v="28"/>
  </r>
  <r>
    <x v="37"/>
    <x v="17"/>
    <x v="1"/>
    <x v="0"/>
    <n v="47"/>
    <x v="29"/>
  </r>
  <r>
    <x v="38"/>
    <x v="17"/>
    <x v="2"/>
    <x v="0"/>
    <n v="50"/>
    <x v="30"/>
  </r>
  <r>
    <x v="39"/>
    <x v="18"/>
    <x v="0"/>
    <x v="0"/>
    <n v="16"/>
    <x v="31"/>
  </r>
  <r>
    <x v="40"/>
    <x v="18"/>
    <x v="1"/>
    <x v="0"/>
    <n v="21"/>
    <x v="32"/>
  </r>
  <r>
    <x v="41"/>
    <x v="18"/>
    <x v="2"/>
    <x v="0"/>
    <n v="43"/>
    <x v="32"/>
  </r>
  <r>
    <x v="42"/>
    <x v="19"/>
    <x v="0"/>
    <x v="0"/>
    <n v="43"/>
    <x v="33"/>
  </r>
  <r>
    <x v="43"/>
    <x v="19"/>
    <x v="1"/>
    <x v="0"/>
    <n v="41"/>
    <x v="33"/>
  </r>
  <r>
    <x v="44"/>
    <x v="19"/>
    <x v="2"/>
    <x v="0"/>
    <n v="49"/>
    <x v="33"/>
  </r>
  <r>
    <x v="45"/>
    <x v="20"/>
    <x v="0"/>
    <x v="0"/>
    <n v="15"/>
    <x v="34"/>
  </r>
  <r>
    <x v="46"/>
    <x v="20"/>
    <x v="1"/>
    <x v="0"/>
    <n v="10"/>
    <x v="34"/>
  </r>
  <r>
    <x v="47"/>
    <x v="20"/>
    <x v="2"/>
    <x v="0"/>
    <n v="21"/>
    <x v="34"/>
  </r>
  <r>
    <x v="48"/>
    <x v="21"/>
    <x v="0"/>
    <x v="0"/>
    <n v="8"/>
    <x v="15"/>
  </r>
  <r>
    <x v="49"/>
    <x v="21"/>
    <x v="1"/>
    <x v="0"/>
    <n v="42"/>
    <x v="15"/>
  </r>
  <r>
    <x v="50"/>
    <x v="21"/>
    <x v="2"/>
    <x v="0"/>
    <n v="48"/>
    <x v="15"/>
  </r>
  <r>
    <x v="51"/>
    <x v="22"/>
    <x v="0"/>
    <x v="0"/>
    <n v="35"/>
    <x v="16"/>
  </r>
  <r>
    <x v="52"/>
    <x v="22"/>
    <x v="1"/>
    <x v="0"/>
    <n v="40"/>
    <x v="16"/>
  </r>
  <r>
    <x v="53"/>
    <x v="22"/>
    <x v="2"/>
    <x v="0"/>
    <n v="18"/>
    <x v="16"/>
  </r>
  <r>
    <x v="54"/>
    <x v="23"/>
    <x v="7"/>
    <x v="2"/>
    <n v="48"/>
    <x v="7"/>
  </r>
  <r>
    <x v="55"/>
    <x v="23"/>
    <x v="4"/>
    <x v="2"/>
    <n v="38"/>
    <x v="7"/>
  </r>
  <r>
    <x v="56"/>
    <x v="23"/>
    <x v="5"/>
    <x v="2"/>
    <n v="45"/>
    <x v="7"/>
  </r>
  <r>
    <x v="57"/>
    <x v="24"/>
    <x v="0"/>
    <x v="0"/>
    <n v="40"/>
    <x v="35"/>
  </r>
  <r>
    <x v="58"/>
    <x v="24"/>
    <x v="1"/>
    <x v="0"/>
    <n v="35"/>
    <x v="35"/>
  </r>
  <r>
    <x v="59"/>
    <x v="24"/>
    <x v="2"/>
    <x v="0"/>
    <n v="35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56AE9-9F0D-4CC8-9C85-17A92C4944F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7" firstHeaderRow="1" firstDataRow="1" firstDataCol="1"/>
  <pivotFields count="6">
    <pivotField showAll="0"/>
    <pivotField dataField="1" showAll="0">
      <items count="26">
        <item x="0"/>
        <item x="1"/>
        <item x="2"/>
        <item x="3"/>
        <item x="24"/>
        <item x="4"/>
        <item x="5"/>
        <item x="18"/>
        <item x="6"/>
        <item x="7"/>
        <item x="8"/>
        <item x="21"/>
        <item x="9"/>
        <item x="10"/>
        <item x="20"/>
        <item x="11"/>
        <item x="12"/>
        <item x="13"/>
        <item x="22"/>
        <item x="23"/>
        <item x="14"/>
        <item x="15"/>
        <item x="16"/>
        <item x="19"/>
        <item x="17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roduto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E0A59-D9F9-459D-B370-D51CAA87FA98}" name="TB_DN_Produ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3:C13" firstHeaderRow="0" firstDataRow="1" firstDataCol="1"/>
  <pivotFields count="6">
    <pivotField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26">
        <item x="0"/>
        <item x="1"/>
        <item x="2"/>
        <item x="3"/>
        <item x="24"/>
        <item x="4"/>
        <item x="5"/>
        <item x="18"/>
        <item x="6"/>
        <item x="7"/>
        <item x="8"/>
        <item x="21"/>
        <item x="9"/>
        <item x="10"/>
        <item x="20"/>
        <item x="11"/>
        <item x="12"/>
        <item x="13"/>
        <item x="22"/>
        <item x="23"/>
        <item x="14"/>
        <item x="15"/>
        <item x="16"/>
        <item x="19"/>
        <item x="17"/>
        <item t="default"/>
      </items>
    </pivotField>
    <pivotField showAll="0">
      <items count="9">
        <item x="7"/>
        <item x="4"/>
        <item x="5"/>
        <item x="6"/>
        <item x="2"/>
        <item x="1"/>
        <item x="0"/>
        <item x="3"/>
        <item t="default"/>
      </items>
    </pivotField>
    <pivotField axis="axisRow" showAll="0">
      <items count="4">
        <item x="1"/>
        <item sd="0" x="2"/>
        <item sd="0" x="0"/>
        <item t="default"/>
      </items>
    </pivotField>
    <pivotField dataField="1" showAll="0"/>
    <pivotField dataField="1" showAll="0">
      <items count="37">
        <item x="13"/>
        <item x="14"/>
        <item x="15"/>
        <item x="5"/>
        <item x="12"/>
        <item x="9"/>
        <item x="10"/>
        <item x="11"/>
        <item x="16"/>
        <item x="32"/>
        <item x="0"/>
        <item x="1"/>
        <item x="31"/>
        <item x="2"/>
        <item x="33"/>
        <item x="6"/>
        <item x="7"/>
        <item x="26"/>
        <item x="8"/>
        <item x="27"/>
        <item x="22"/>
        <item x="28"/>
        <item x="29"/>
        <item x="3"/>
        <item x="30"/>
        <item x="35"/>
        <item x="24"/>
        <item x="20"/>
        <item x="25"/>
        <item x="23"/>
        <item x="4"/>
        <item x="34"/>
        <item x="17"/>
        <item x="19"/>
        <item x="18"/>
        <item x="21"/>
        <item t="default"/>
      </items>
    </pivotField>
  </pivotFields>
  <rowFields count="2">
    <field x="3"/>
    <field x="1"/>
  </rowFields>
  <rowItems count="10">
    <i>
      <x/>
    </i>
    <i r="1">
      <x v="1"/>
    </i>
    <i r="1">
      <x v="2"/>
    </i>
    <i r="1">
      <x v="3"/>
    </i>
    <i r="1">
      <x v="12"/>
    </i>
    <i r="1">
      <x v="16"/>
    </i>
    <i r="1">
      <x v="17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stoque" fld="4" baseField="0" baseItem="0"/>
    <dataField name="Soma de Preço Unitário" fld="5" baseField="3" baseItem="0" numFmtId="44"/>
  </dataFields>
  <formats count="7">
    <format dxfId="16">
      <pivotArea type="origin" dataOnly="0" labelOnly="1" outline="0" fieldPosition="0"/>
    </format>
    <format dxfId="15">
      <pivotArea field="3" type="button" dataOnly="0" labelOnly="1" outline="0" axis="axisRow" fieldPosition="0"/>
    </format>
    <format dxfId="14">
      <pivotArea type="topRight" dataOnly="0" labelOnly="1" outline="0" fieldPosition="0"/>
    </format>
    <format dxfId="13">
      <pivotArea field="1" type="button" dataOnly="0" labelOnly="1" outline="0" axis="axisRow" fieldPosition="1"/>
    </format>
    <format dxfId="12">
      <pivotArea dataOnly="0" labelOnly="1" fieldPosition="0">
        <references count="1">
          <reference field="3" count="0"/>
        </references>
      </pivotArea>
    </format>
    <format dxfId="11">
      <pivotArea dataOnly="0" labelOnly="1" grandCol="1" outline="0" fieldPosition="0"/>
    </format>
    <format dxfId="1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21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C6153-97A9-46E7-8701-0E20703ADFF4}" name="Tabela dinâmica1" cacheId="1" applyNumberFormats="0" applyBorderFormats="0" applyFontFormats="0" applyPatternFormats="0" applyAlignmentFormats="0" applyWidthHeightFormats="1" dataCaption="Valores" tag="b713ddb3-90a9-403e-8ff6-12127a8a51e5" updatedVersion="8" minRefreshableVersion="3" useAutoFormatting="1" itemPrintTitles="1" createdVersion="8" indent="0" outline="1" outlineData="1" multipleFieldFilters="0">
  <location ref="F3:I7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name="Soma de Total" fld="3" baseField="0" baseItem="1" numFmtId="44"/>
  </dataFields>
  <formats count="9">
    <format dxfId="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7">
      <pivotArea outline="0" fieldPosition="0">
        <references count="1">
          <reference field="4294967294" count="1">
            <x v="2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ntagem de Total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Produtos]"/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AEBCA-9301-4D82-8D66-2AC8D50F3D41}" name="TB_DN_Vendas" cacheId="2" applyNumberFormats="0" applyBorderFormats="0" applyFontFormats="0" applyPatternFormats="0" applyAlignmentFormats="0" applyWidthHeightFormats="1" dataCaption="Valores" tag="b9a7ecbe-2c03-48c4-848c-ccfff4546219" updatedVersion="8" minRefreshableVersion="3" useAutoFormatting="1" subtotalHiddenItems="1" itemPrintTitles="1" createdVersion="8" indent="0" outline="1" outlineData="1" multipleFieldFilters="0" chartFormat="5">
  <location ref="A3:C12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" fld="1" baseField="0" baseItem="0"/>
    <dataField name="Soma de Total" fld="2" baseField="0" baseItem="0" numFmtId="44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5" showRowHeaders="1" showColHeaders="1" showRowStripes="1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90EE1-4C23-43D9-ADB6-0AECC8AEF33C}" name="TB_DN_Vendedores" cacheId="3" applyNumberFormats="0" applyBorderFormats="0" applyFontFormats="0" applyPatternFormats="0" applyAlignmentFormats="0" applyWidthHeightFormats="1" dataCaption="Valores" tag="4bd229ef-fa55-4346-a60b-c31c86a4d8fa" updatedVersion="8" minRefreshableVersion="3" useAutoFormatting="1" subtotalHiddenItems="1" itemPrintTitles="1" createdVersion="8" indent="0" outline="1" outlineData="1" multipleFieldFilters="0" chartFormat="7">
  <location ref="A3:B9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name="Soma de Total" fld="1" baseField="0" baseItem="0" numFmtId="4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7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edores]"/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FC8C2FB8-984C-4A41-B56C-5A5C93332B55}" sourceName="Categoria">
  <pivotTables>
    <pivotTable tabId="29" name="TB_DN_Produtos"/>
    <pivotTable tabId="29" name="Tabela dinâmica1"/>
  </pivotTables>
  <data>
    <tabular pivotCacheId="1853957641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AF9E6AE8-84CB-4040-95F3-5F9E4CE66760}" cache="SegmentaçãodeDados_Categoria1" caption="Categoria" columnCount="3" style="SlicerStyleOther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46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45"/>
    <tableColumn id="2" xr3:uid="{E100D4E2-C3A0-43FF-A1D9-90A4BC2A9918}" name="Produtos"/>
    <tableColumn id="3" xr3:uid="{2EF7FEE0-6B6F-4534-86A0-46B6555B7BEF}" name="Tamanho" dataDxfId="44"/>
    <tableColumn id="4" xr3:uid="{4435A4B8-E7F0-4D66-A4F8-6A9FEAA36D5A}" name="Categoria" dataDxfId="43"/>
    <tableColumn id="6" xr3:uid="{15F9CACC-A558-4A20-80CF-C2ADA2603221}" name="Estoque" dataDxfId="42"/>
    <tableColumn id="5" xr3:uid="{CA8AD0DE-58EC-4839-85FB-1DD75DA28087}" name="Preço Unitário" dataDxfId="4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32490-23C1-4DAC-A34B-78B979DAE740}" name="TB_Vendedores" displayName="TB_Vendedores" ref="B4:E9" totalsRowShown="0" headerRowDxfId="40" dataDxfId="38" headerRowBorderDxfId="39" tableBorderDxfId="37" totalsRowBorderDxfId="36" headerRowCellStyle="Cabeçalho Meteora">
  <autoFilter ref="B4:E9" xr:uid="{5E832490-23C1-4DAC-A34B-78B979DAE740}">
    <filterColumn colId="0" hiddenButton="1"/>
    <filterColumn colId="1" hiddenButton="1"/>
    <filterColumn colId="2" hiddenButton="1"/>
    <filterColumn colId="3" hiddenButton="1"/>
  </autoFilter>
  <tableColumns count="4">
    <tableColumn id="1" xr3:uid="{ACE2B667-053B-4FBA-8890-CC24A9E4250E}" name="Código" dataDxfId="35"/>
    <tableColumn id="2" xr3:uid="{EA0A1AD4-2F43-464B-9B7D-C229EDBEE756}" name="Vendedor" dataDxfId="34"/>
    <tableColumn id="3" xr3:uid="{41B59A20-5399-42BB-A483-F3EAF9E60968}" name="Cidade" dataDxfId="33"/>
    <tableColumn id="4" xr3:uid="{6746079D-F274-4BF7-ACE2-DE3181C32418}" name="Desc. Máximo" dataDxfId="32" dataCellStyle="Porcentage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M86" totalsRowShown="0" headerRowDxfId="31" dataDxfId="30" headerRowCellStyle="Cabeçalho Meteora">
  <autoFilter ref="A4:M86" xr:uid="{AD739091-30BD-4C30-BDDA-7504C0C4B6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7" xr3:uid="{5E8DE7C3-CDB6-4314-A5CC-C44D3C21973F}" name="Nº" dataDxfId="29">
      <calculatedColumnFormula>MONTH(TB_Vendas[[#This Row],[Data]])</calculatedColumnFormula>
    </tableColumn>
    <tableColumn id="1" xr3:uid="{43632F1F-6978-4CE7-BB13-7CCE587D6821}" name="Data" dataDxfId="28"/>
    <tableColumn id="12" xr3:uid="{205A55AB-454E-4288-AE23-042C3C399E7A}" name="Código" dataDxfId="27"/>
    <tableColumn id="16" xr3:uid="{059789B1-50A2-47F3-849D-D1EE26B94731}" name="Categoria" dataDxfId="26">
      <calculatedColumnFormula>_xlfn.XLOOKUP(TB_Vendas[[#This Row],[Código]],TB_Produtos[Código],TB_Produtos[Categoria])</calculatedColumnFormula>
    </tableColumn>
    <tableColumn id="5" xr3:uid="{7DC2ADED-AF8A-4BC8-A38E-FEF676FE49C9}" name="Qtd" dataDxfId="25"/>
    <tableColumn id="9" xr3:uid="{05B7315B-2774-41BC-AFEC-4A19E452D6C7}" name="Preço Unitário" dataDxfId="24">
      <calculatedColumnFormula>VLOOKUP(TB_Vendas[[#This Row],[Código]],Produtos!$B$6:$G$66,6,0)</calculatedColumnFormula>
    </tableColumn>
    <tableColumn id="18" xr3:uid="{152BED38-8D5F-4FAA-8C38-58740E2353E5}" name="Indice" dataDxfId="23">
      <calculatedColumnFormula>_xlfn.XMATCH(TB_Vendas[[#This Row],[Categoria]],Desc_Categorias,0)</calculatedColumnFormula>
    </tableColumn>
    <tableColumn id="17" xr3:uid="{C4E78734-94D7-4D31-B07D-5609B855AC0F}" name="Desconto _x000a_(Passo a Passo)" dataDxfId="22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_x000a_(Diretão)" dataDxfId="21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3" xr3:uid="{A390EF1B-6262-46F1-9157-812330B340F7}" name="Desconto _x000a_(Vendedor)" dataDxfId="20" dataCellStyle="Porcentagem">
      <calculatedColumnFormula>_xlfn.XLOOKUP(TB_Vendas[[#This Row],[Vendedor]],Vendedores!$B$5:$B$9,Vendedores!$E$5:$E$9)</calculatedColumnFormula>
    </tableColumn>
    <tableColumn id="4" xr3:uid="{0BDC1FEC-277F-4592-AE4E-EB3C0FEF2F34}" name="Desconto Final" dataDxfId="19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18">
      <calculatedColumnFormula>TB_Vendas[[#This Row],[Preço Unitário]]*TB_Vendas[[#This Row],[Qtd]]</calculatedColumnFormula>
    </tableColumn>
    <tableColumn id="8" xr3:uid="{192FEBCA-1287-48A6-9BE6-69528F71C305}" name="Vendedor" dataDxfId="1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pane activePane="bottomRight" state="frozen"/>
      <selection sqref="A1:L6"/>
    </sheetView>
  </sheetViews>
  <sheetFormatPr defaultColWidth="0" defaultRowHeight="14.4" zeroHeight="1"/>
  <cols>
    <col min="1" max="12" width="8.88671875" customWidth="1"/>
    <col min="13" max="16384" width="8.88671875" hidden="1"/>
  </cols>
  <sheetData>
    <row r="1" spans="1:12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20" zoomScaleNormal="120" workbookViewId="0">
      <selection activeCell="C20" sqref="C20"/>
    </sheetView>
  </sheetViews>
  <sheetFormatPr defaultColWidth="0" defaultRowHeight="14.4"/>
  <cols>
    <col min="1" max="1" width="8.44140625" customWidth="1"/>
    <col min="2" max="2" width="18.6640625" customWidth="1"/>
    <col min="3" max="3" width="21.33203125" style="1" customWidth="1"/>
    <col min="4" max="4" width="14" bestFit="1" customWidth="1"/>
    <col min="5" max="5" width="17.109375" style="1" bestFit="1" customWidth="1"/>
    <col min="6" max="6" width="13.109375" customWidth="1"/>
    <col min="7" max="7" width="22.44140625" customWidth="1"/>
    <col min="8" max="8" width="8.88671875" customWidth="1"/>
    <col min="9" max="16384" width="8.88671875" hidden="1"/>
  </cols>
  <sheetData>
    <row r="1" spans="1:9" s="13" customFormat="1" ht="40.200000000000003" customHeight="1">
      <c r="A1" s="16"/>
      <c r="B1" s="20" t="s">
        <v>120</v>
      </c>
      <c r="C1" s="20"/>
      <c r="D1" s="20"/>
      <c r="E1" s="54"/>
      <c r="F1" s="20"/>
      <c r="G1" s="20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18" customHeight="1">
      <c r="A4" s="19"/>
      <c r="B4" s="19"/>
      <c r="D4" s="15"/>
      <c r="E4" s="15"/>
      <c r="F4" s="15"/>
    </row>
    <row r="5" spans="1:9" ht="4.95" customHeight="1">
      <c r="A5" s="15"/>
      <c r="B5" s="15"/>
      <c r="C5" s="15"/>
      <c r="D5" s="15"/>
      <c r="E5" s="15"/>
      <c r="F5" s="15"/>
    </row>
    <row r="6" spans="1:9" s="1" customFormat="1" ht="36" customHeight="1">
      <c r="B6" s="55" t="s">
        <v>30</v>
      </c>
      <c r="C6" s="55" t="s">
        <v>0</v>
      </c>
      <c r="D6" s="55" t="s">
        <v>1</v>
      </c>
      <c r="E6" s="55" t="s">
        <v>10</v>
      </c>
      <c r="F6" s="55" t="s">
        <v>75</v>
      </c>
      <c r="G6" s="55" t="s">
        <v>11</v>
      </c>
      <c r="H6" s="9"/>
    </row>
    <row r="7" spans="1:9">
      <c r="B7" s="1" t="s">
        <v>31</v>
      </c>
      <c r="C7" t="s">
        <v>5</v>
      </c>
      <c r="D7" s="1" t="s">
        <v>2</v>
      </c>
      <c r="E7" s="1" t="s">
        <v>12</v>
      </c>
      <c r="F7" s="1">
        <v>48</v>
      </c>
      <c r="G7" s="2">
        <v>65.900000000000006</v>
      </c>
    </row>
    <row r="8" spans="1:9">
      <c r="B8" s="1" t="s">
        <v>32</v>
      </c>
      <c r="C8" t="s">
        <v>5</v>
      </c>
      <c r="D8" s="1" t="s">
        <v>3</v>
      </c>
      <c r="E8" s="1" t="s">
        <v>12</v>
      </c>
      <c r="F8" s="1">
        <v>17</v>
      </c>
      <c r="G8" s="2">
        <v>69.900000000000006</v>
      </c>
    </row>
    <row r="9" spans="1:9">
      <c r="B9" s="1" t="s">
        <v>33</v>
      </c>
      <c r="C9" t="s">
        <v>5</v>
      </c>
      <c r="D9" s="1" t="s">
        <v>4</v>
      </c>
      <c r="E9" s="1" t="s">
        <v>12</v>
      </c>
      <c r="F9" s="1">
        <v>25</v>
      </c>
      <c r="G9" s="2">
        <v>70.900000000000006</v>
      </c>
    </row>
    <row r="10" spans="1:9">
      <c r="B10" s="1" t="s">
        <v>34</v>
      </c>
      <c r="C10" t="s">
        <v>29</v>
      </c>
      <c r="D10" s="1" t="s">
        <v>8</v>
      </c>
      <c r="E10" s="1" t="s">
        <v>13</v>
      </c>
      <c r="F10" s="1">
        <v>36</v>
      </c>
      <c r="G10" s="2">
        <v>145</v>
      </c>
    </row>
    <row r="11" spans="1:9">
      <c r="B11" s="1" t="s">
        <v>35</v>
      </c>
      <c r="C11" t="s">
        <v>28</v>
      </c>
      <c r="D11" s="1" t="s">
        <v>8</v>
      </c>
      <c r="E11" s="1" t="s">
        <v>13</v>
      </c>
      <c r="F11" s="1">
        <v>21</v>
      </c>
      <c r="G11" s="2">
        <v>259.89999999999998</v>
      </c>
    </row>
    <row r="12" spans="1:9">
      <c r="B12" s="1" t="s">
        <v>36</v>
      </c>
      <c r="C12" t="s">
        <v>6</v>
      </c>
      <c r="D12" s="1" t="s">
        <v>8</v>
      </c>
      <c r="E12" s="1" t="s">
        <v>13</v>
      </c>
      <c r="F12" s="1">
        <v>23</v>
      </c>
      <c r="G12" s="2">
        <v>39.9</v>
      </c>
    </row>
    <row r="13" spans="1:9">
      <c r="B13" s="1" t="s">
        <v>37</v>
      </c>
      <c r="C13" t="s">
        <v>23</v>
      </c>
      <c r="D13" s="1" t="s">
        <v>2</v>
      </c>
      <c r="E13" s="1" t="s">
        <v>12</v>
      </c>
      <c r="F13" s="1">
        <v>24</v>
      </c>
      <c r="G13" s="2">
        <v>85.9</v>
      </c>
    </row>
    <row r="14" spans="1:9">
      <c r="B14" s="1" t="s">
        <v>38</v>
      </c>
      <c r="C14" t="s">
        <v>23</v>
      </c>
      <c r="D14" s="1" t="s">
        <v>3</v>
      </c>
      <c r="E14" s="1" t="s">
        <v>12</v>
      </c>
      <c r="F14" s="1">
        <v>35</v>
      </c>
      <c r="G14" s="2">
        <v>89.9</v>
      </c>
    </row>
    <row r="15" spans="1:9">
      <c r="B15" s="1" t="s">
        <v>39</v>
      </c>
      <c r="C15" t="s">
        <v>23</v>
      </c>
      <c r="D15" s="1" t="s">
        <v>4</v>
      </c>
      <c r="E15" s="1" t="s">
        <v>12</v>
      </c>
      <c r="F15" s="1">
        <v>47</v>
      </c>
      <c r="G15" s="2">
        <v>92.9</v>
      </c>
    </row>
    <row r="16" spans="1:9">
      <c r="B16" s="1" t="s">
        <v>40</v>
      </c>
      <c r="C16" t="s">
        <v>26</v>
      </c>
      <c r="D16" s="1" t="s">
        <v>2</v>
      </c>
      <c r="E16" s="1" t="s">
        <v>12</v>
      </c>
      <c r="F16" s="1">
        <v>42</v>
      </c>
      <c r="G16" s="2">
        <v>44.9</v>
      </c>
    </row>
    <row r="17" spans="2:7">
      <c r="B17" s="1" t="s">
        <v>41</v>
      </c>
      <c r="C17" t="s">
        <v>26</v>
      </c>
      <c r="D17" s="1" t="s">
        <v>3</v>
      </c>
      <c r="E17" s="1" t="s">
        <v>12</v>
      </c>
      <c r="F17" s="1">
        <v>32</v>
      </c>
      <c r="G17" s="2">
        <v>46.9</v>
      </c>
    </row>
    <row r="18" spans="2:7">
      <c r="B18" s="1" t="s">
        <v>42</v>
      </c>
      <c r="C18" t="s">
        <v>26</v>
      </c>
      <c r="D18" s="1" t="s">
        <v>4</v>
      </c>
      <c r="E18" s="1" t="s">
        <v>12</v>
      </c>
      <c r="F18" s="1">
        <v>45</v>
      </c>
      <c r="G18" s="2">
        <v>48.9</v>
      </c>
    </row>
    <row r="19" spans="2:7">
      <c r="B19" s="1" t="s">
        <v>43</v>
      </c>
      <c r="C19" t="s">
        <v>18</v>
      </c>
      <c r="D19" s="1" t="s">
        <v>2</v>
      </c>
      <c r="E19" s="1" t="s">
        <v>12</v>
      </c>
      <c r="F19" s="1">
        <v>19</v>
      </c>
      <c r="G19" s="2">
        <v>39.9</v>
      </c>
    </row>
    <row r="20" spans="2:7">
      <c r="B20" s="1" t="s">
        <v>44</v>
      </c>
      <c r="C20" t="s">
        <v>18</v>
      </c>
      <c r="D20" s="1" t="s">
        <v>3</v>
      </c>
      <c r="E20" s="1" t="s">
        <v>12</v>
      </c>
      <c r="F20" s="1">
        <v>37</v>
      </c>
      <c r="G20" s="2">
        <v>39.9</v>
      </c>
    </row>
    <row r="21" spans="2:7">
      <c r="B21" s="1" t="s">
        <v>45</v>
      </c>
      <c r="C21" t="s">
        <v>18</v>
      </c>
      <c r="D21" s="1" t="s">
        <v>4</v>
      </c>
      <c r="E21" s="1" t="s">
        <v>12</v>
      </c>
      <c r="F21" s="1">
        <v>16</v>
      </c>
      <c r="G21" s="2">
        <v>42.5</v>
      </c>
    </row>
    <row r="22" spans="2:7">
      <c r="B22" s="1" t="s">
        <v>46</v>
      </c>
      <c r="C22" t="s">
        <v>9</v>
      </c>
      <c r="D22" s="1" t="s">
        <v>2</v>
      </c>
      <c r="E22" s="1" t="s">
        <v>12</v>
      </c>
      <c r="F22" s="1">
        <v>43</v>
      </c>
      <c r="G22" s="2">
        <v>25.9</v>
      </c>
    </row>
    <row r="23" spans="2:7">
      <c r="B23" s="1" t="s">
        <v>47</v>
      </c>
      <c r="C23" t="s">
        <v>17</v>
      </c>
      <c r="D23" s="1" t="s">
        <v>3</v>
      </c>
      <c r="E23" s="1" t="s">
        <v>12</v>
      </c>
      <c r="F23" s="1">
        <v>46</v>
      </c>
      <c r="G23" s="2">
        <v>29.9</v>
      </c>
    </row>
    <row r="24" spans="2:7">
      <c r="B24" s="1" t="s">
        <v>48</v>
      </c>
      <c r="C24" t="s">
        <v>17</v>
      </c>
      <c r="D24" s="1" t="s">
        <v>4</v>
      </c>
      <c r="E24" s="1" t="s">
        <v>12</v>
      </c>
      <c r="F24" s="1">
        <v>0</v>
      </c>
      <c r="G24" s="2">
        <v>32.9</v>
      </c>
    </row>
    <row r="25" spans="2:7">
      <c r="B25" s="1" t="s">
        <v>49</v>
      </c>
      <c r="C25" t="s">
        <v>7</v>
      </c>
      <c r="D25" s="1" t="s">
        <v>8</v>
      </c>
      <c r="E25" s="1" t="s">
        <v>13</v>
      </c>
      <c r="F25" s="1">
        <v>2</v>
      </c>
      <c r="G25" s="2">
        <v>49.9</v>
      </c>
    </row>
    <row r="26" spans="2:7">
      <c r="B26" s="1" t="s">
        <v>50</v>
      </c>
      <c r="C26" t="s">
        <v>22</v>
      </c>
      <c r="D26" s="1" t="s">
        <v>2</v>
      </c>
      <c r="E26" s="1" t="s">
        <v>12</v>
      </c>
      <c r="F26" s="1">
        <v>34</v>
      </c>
      <c r="G26" s="2">
        <v>299.89999999999998</v>
      </c>
    </row>
    <row r="27" spans="2:7">
      <c r="B27" s="1" t="s">
        <v>51</v>
      </c>
      <c r="C27" t="s">
        <v>22</v>
      </c>
      <c r="D27" s="1" t="s">
        <v>3</v>
      </c>
      <c r="E27" s="1" t="s">
        <v>12</v>
      </c>
      <c r="F27" s="1">
        <v>34</v>
      </c>
      <c r="G27" s="2">
        <v>302.89999999999998</v>
      </c>
    </row>
    <row r="28" spans="2:7">
      <c r="B28" s="1" t="s">
        <v>52</v>
      </c>
      <c r="C28" t="s">
        <v>22</v>
      </c>
      <c r="D28" s="1" t="s">
        <v>4</v>
      </c>
      <c r="E28" s="1" t="s">
        <v>12</v>
      </c>
      <c r="F28" s="1">
        <v>35</v>
      </c>
      <c r="G28" s="2">
        <v>300</v>
      </c>
    </row>
    <row r="29" spans="2:7">
      <c r="B29" s="1" t="s">
        <v>53</v>
      </c>
      <c r="C29" t="s">
        <v>21</v>
      </c>
      <c r="D29" s="1" t="s">
        <v>2</v>
      </c>
      <c r="E29" s="1" t="s">
        <v>12</v>
      </c>
      <c r="F29" s="1">
        <v>49</v>
      </c>
      <c r="G29" s="2">
        <v>249.9</v>
      </c>
    </row>
    <row r="30" spans="2:7">
      <c r="B30" s="1" t="s">
        <v>54</v>
      </c>
      <c r="C30" t="s">
        <v>21</v>
      </c>
      <c r="D30" s="1" t="s">
        <v>3</v>
      </c>
      <c r="E30" s="1" t="s">
        <v>12</v>
      </c>
      <c r="F30" s="1">
        <v>16</v>
      </c>
      <c r="G30" s="2">
        <v>259.89999999999998</v>
      </c>
    </row>
    <row r="31" spans="2:7">
      <c r="B31" s="1" t="s">
        <v>55</v>
      </c>
      <c r="C31" t="s">
        <v>21</v>
      </c>
      <c r="D31" s="1" t="s">
        <v>4</v>
      </c>
      <c r="E31" s="1" t="s">
        <v>12</v>
      </c>
      <c r="F31" s="1">
        <v>41</v>
      </c>
      <c r="G31" s="2">
        <v>299.89999999999998</v>
      </c>
    </row>
    <row r="32" spans="2:7">
      <c r="B32" s="1" t="s">
        <v>56</v>
      </c>
      <c r="C32" t="s">
        <v>20</v>
      </c>
      <c r="D32" s="1" t="s">
        <v>8</v>
      </c>
      <c r="E32" s="1" t="s">
        <v>13</v>
      </c>
      <c r="F32" s="1">
        <v>32</v>
      </c>
      <c r="G32" s="2">
        <v>349.9</v>
      </c>
    </row>
    <row r="33" spans="2:7">
      <c r="B33" s="1" t="s">
        <v>57</v>
      </c>
      <c r="C33" t="s">
        <v>19</v>
      </c>
      <c r="D33" s="1" t="s">
        <v>8</v>
      </c>
      <c r="E33" s="1" t="s">
        <v>13</v>
      </c>
      <c r="F33" s="1">
        <v>45</v>
      </c>
      <c r="G33" s="2">
        <v>120</v>
      </c>
    </row>
    <row r="34" spans="2:7">
      <c r="B34" s="1" t="s">
        <v>58</v>
      </c>
      <c r="C34" t="s">
        <v>27</v>
      </c>
      <c r="D34" s="1">
        <v>36</v>
      </c>
      <c r="E34" s="1" t="s">
        <v>14</v>
      </c>
      <c r="F34" s="1">
        <v>37</v>
      </c>
      <c r="G34" s="2">
        <v>249.9</v>
      </c>
    </row>
    <row r="35" spans="2:7">
      <c r="B35" s="1" t="s">
        <v>59</v>
      </c>
      <c r="C35" t="s">
        <v>27</v>
      </c>
      <c r="D35" s="1">
        <v>37</v>
      </c>
      <c r="E35" s="1" t="s">
        <v>14</v>
      </c>
      <c r="F35" s="1">
        <v>41</v>
      </c>
      <c r="G35" s="2">
        <v>255</v>
      </c>
    </row>
    <row r="36" spans="2:7">
      <c r="B36" s="1" t="s">
        <v>60</v>
      </c>
      <c r="C36" t="s">
        <v>27</v>
      </c>
      <c r="D36" s="1">
        <v>38</v>
      </c>
      <c r="E36" s="1" t="s">
        <v>14</v>
      </c>
      <c r="F36" s="1">
        <v>30</v>
      </c>
      <c r="G36" s="2">
        <v>259.89999999999998</v>
      </c>
    </row>
    <row r="37" spans="2:7">
      <c r="B37" s="1" t="s">
        <v>61</v>
      </c>
      <c r="C37" t="s">
        <v>111</v>
      </c>
      <c r="D37" s="1">
        <v>36</v>
      </c>
      <c r="E37" s="1" t="s">
        <v>14</v>
      </c>
      <c r="F37" s="1">
        <v>27</v>
      </c>
      <c r="G37" s="2">
        <v>245</v>
      </c>
    </row>
    <row r="38" spans="2:7">
      <c r="B38" s="1" t="s">
        <v>62</v>
      </c>
      <c r="C38" t="s">
        <v>111</v>
      </c>
      <c r="D38" s="1">
        <v>37</v>
      </c>
      <c r="E38" s="1" t="s">
        <v>14</v>
      </c>
      <c r="F38" s="1">
        <v>41</v>
      </c>
      <c r="G38" s="2">
        <v>250</v>
      </c>
    </row>
    <row r="39" spans="2:7">
      <c r="B39" s="1" t="s">
        <v>63</v>
      </c>
      <c r="C39" t="s">
        <v>111</v>
      </c>
      <c r="D39" s="1">
        <v>38</v>
      </c>
      <c r="E39" s="1" t="s">
        <v>14</v>
      </c>
      <c r="F39" s="1">
        <v>43</v>
      </c>
      <c r="G39" s="2">
        <v>259.89999999999998</v>
      </c>
    </row>
    <row r="40" spans="2:7">
      <c r="B40" s="1" t="s">
        <v>64</v>
      </c>
      <c r="C40" t="s">
        <v>25</v>
      </c>
      <c r="D40" s="1" t="s">
        <v>2</v>
      </c>
      <c r="E40" s="1" t="s">
        <v>12</v>
      </c>
      <c r="F40" s="1">
        <v>43</v>
      </c>
      <c r="G40" s="2">
        <v>89.9</v>
      </c>
    </row>
    <row r="41" spans="2:7">
      <c r="B41" s="1" t="s">
        <v>65</v>
      </c>
      <c r="C41" t="s">
        <v>25</v>
      </c>
      <c r="D41" s="1" t="s">
        <v>3</v>
      </c>
      <c r="E41" s="1" t="s">
        <v>12</v>
      </c>
      <c r="F41" s="1">
        <v>18</v>
      </c>
      <c r="G41" s="2">
        <v>91.4</v>
      </c>
    </row>
    <row r="42" spans="2:7">
      <c r="B42" s="1" t="s">
        <v>66</v>
      </c>
      <c r="C42" t="s">
        <v>25</v>
      </c>
      <c r="D42" s="1" t="s">
        <v>4</v>
      </c>
      <c r="E42" s="1" t="s">
        <v>12</v>
      </c>
      <c r="F42" s="1">
        <v>45</v>
      </c>
      <c r="G42" s="2">
        <v>93.5</v>
      </c>
    </row>
    <row r="43" spans="2:7">
      <c r="B43" s="1" t="s">
        <v>67</v>
      </c>
      <c r="C43" t="s">
        <v>24</v>
      </c>
      <c r="D43" s="1" t="s">
        <v>2</v>
      </c>
      <c r="E43" s="1" t="s">
        <v>12</v>
      </c>
      <c r="F43" s="1">
        <v>34</v>
      </c>
      <c r="G43" s="2">
        <v>140</v>
      </c>
    </row>
    <row r="44" spans="2:7">
      <c r="B44" s="1" t="s">
        <v>68</v>
      </c>
      <c r="C44" t="s">
        <v>24</v>
      </c>
      <c r="D44" s="1" t="s">
        <v>3</v>
      </c>
      <c r="E44" s="1" t="s">
        <v>12</v>
      </c>
      <c r="F44" s="1">
        <v>47</v>
      </c>
      <c r="G44" s="2">
        <v>142.9</v>
      </c>
    </row>
    <row r="45" spans="2:7">
      <c r="B45" s="1" t="s">
        <v>69</v>
      </c>
      <c r="C45" t="s">
        <v>24</v>
      </c>
      <c r="D45" s="1" t="s">
        <v>4</v>
      </c>
      <c r="E45" s="1" t="s">
        <v>12</v>
      </c>
      <c r="F45" s="1">
        <v>50</v>
      </c>
      <c r="G45" s="2">
        <v>146</v>
      </c>
    </row>
    <row r="46" spans="2:7">
      <c r="B46" s="1" t="s">
        <v>83</v>
      </c>
      <c r="C46" t="s">
        <v>107</v>
      </c>
      <c r="D46" s="1" t="s">
        <v>2</v>
      </c>
      <c r="E46" s="1" t="s">
        <v>12</v>
      </c>
      <c r="F46" s="1">
        <v>16</v>
      </c>
      <c r="G46" s="8">
        <v>70</v>
      </c>
    </row>
    <row r="47" spans="2:7">
      <c r="B47" s="1" t="s">
        <v>84</v>
      </c>
      <c r="C47" t="s">
        <v>107</v>
      </c>
      <c r="D47" s="1" t="s">
        <v>3</v>
      </c>
      <c r="E47" s="1" t="s">
        <v>12</v>
      </c>
      <c r="F47" s="1">
        <v>21</v>
      </c>
      <c r="G47" s="8">
        <v>54.9</v>
      </c>
    </row>
    <row r="48" spans="2:7">
      <c r="B48" s="1" t="s">
        <v>85</v>
      </c>
      <c r="C48" t="s">
        <v>107</v>
      </c>
      <c r="D48" s="1" t="s">
        <v>4</v>
      </c>
      <c r="E48" s="1" t="s">
        <v>12</v>
      </c>
      <c r="F48" s="1">
        <v>43</v>
      </c>
      <c r="G48" s="8">
        <v>54.9</v>
      </c>
    </row>
    <row r="49" spans="2:7">
      <c r="B49" s="1" t="s">
        <v>86</v>
      </c>
      <c r="C49" t="s">
        <v>87</v>
      </c>
      <c r="D49" s="1" t="s">
        <v>2</v>
      </c>
      <c r="E49" s="1" t="s">
        <v>12</v>
      </c>
      <c r="F49" s="1">
        <v>43</v>
      </c>
      <c r="G49" s="8">
        <v>72.5</v>
      </c>
    </row>
    <row r="50" spans="2:7">
      <c r="B50" s="1" t="s">
        <v>88</v>
      </c>
      <c r="C50" t="s">
        <v>87</v>
      </c>
      <c r="D50" s="1" t="s">
        <v>3</v>
      </c>
      <c r="E50" s="1" t="s">
        <v>12</v>
      </c>
      <c r="F50" s="1">
        <v>41</v>
      </c>
      <c r="G50" s="8">
        <v>72.5</v>
      </c>
    </row>
    <row r="51" spans="2:7">
      <c r="B51" s="1" t="s">
        <v>89</v>
      </c>
      <c r="C51" t="s">
        <v>87</v>
      </c>
      <c r="D51" s="1" t="s">
        <v>4</v>
      </c>
      <c r="E51" s="1" t="s">
        <v>12</v>
      </c>
      <c r="F51" s="1">
        <v>49</v>
      </c>
      <c r="G51" s="8">
        <v>72.5</v>
      </c>
    </row>
    <row r="52" spans="2:7">
      <c r="B52" s="1" t="s">
        <v>90</v>
      </c>
      <c r="C52" t="s">
        <v>91</v>
      </c>
      <c r="D52" s="1" t="s">
        <v>2</v>
      </c>
      <c r="E52" s="1" t="s">
        <v>12</v>
      </c>
      <c r="F52" s="1">
        <v>15</v>
      </c>
      <c r="G52" s="8">
        <v>289.89999999999998</v>
      </c>
    </row>
    <row r="53" spans="2:7">
      <c r="B53" s="1" t="s">
        <v>92</v>
      </c>
      <c r="C53" t="s">
        <v>91</v>
      </c>
      <c r="D53" s="1" t="s">
        <v>3</v>
      </c>
      <c r="E53" s="1" t="s">
        <v>12</v>
      </c>
      <c r="F53" s="1">
        <v>10</v>
      </c>
      <c r="G53" s="8">
        <v>289.89999999999998</v>
      </c>
    </row>
    <row r="54" spans="2:7">
      <c r="B54" s="1" t="s">
        <v>93</v>
      </c>
      <c r="C54" t="s">
        <v>91</v>
      </c>
      <c r="D54" s="1" t="s">
        <v>4</v>
      </c>
      <c r="E54" s="1" t="s">
        <v>12</v>
      </c>
      <c r="F54" s="1">
        <v>21</v>
      </c>
      <c r="G54" s="8">
        <v>289.89999999999998</v>
      </c>
    </row>
    <row r="55" spans="2:7">
      <c r="B55" s="1" t="s">
        <v>94</v>
      </c>
      <c r="C55" t="s">
        <v>95</v>
      </c>
      <c r="D55" s="1" t="s">
        <v>2</v>
      </c>
      <c r="E55" s="1" t="s">
        <v>12</v>
      </c>
      <c r="F55" s="1">
        <v>8</v>
      </c>
      <c r="G55" s="8">
        <v>32.9</v>
      </c>
    </row>
    <row r="56" spans="2:7">
      <c r="B56" s="1" t="s">
        <v>96</v>
      </c>
      <c r="C56" t="s">
        <v>95</v>
      </c>
      <c r="D56" s="1" t="s">
        <v>3</v>
      </c>
      <c r="E56" s="1" t="s">
        <v>12</v>
      </c>
      <c r="F56" s="1">
        <v>42</v>
      </c>
      <c r="G56" s="8">
        <v>32.9</v>
      </c>
    </row>
    <row r="57" spans="2:7">
      <c r="B57" s="1" t="s">
        <v>97</v>
      </c>
      <c r="C57" t="s">
        <v>95</v>
      </c>
      <c r="D57" s="1" t="s">
        <v>4</v>
      </c>
      <c r="E57" s="1" t="s">
        <v>12</v>
      </c>
      <c r="F57" s="1">
        <v>48</v>
      </c>
      <c r="G57" s="8">
        <v>32.9</v>
      </c>
    </row>
    <row r="58" spans="2:7">
      <c r="B58" s="1" t="s">
        <v>98</v>
      </c>
      <c r="C58" t="s">
        <v>99</v>
      </c>
      <c r="D58" s="1" t="s">
        <v>2</v>
      </c>
      <c r="E58" s="1" t="s">
        <v>12</v>
      </c>
      <c r="F58" s="1">
        <v>35</v>
      </c>
      <c r="G58" s="8">
        <v>49.9</v>
      </c>
    </row>
    <row r="59" spans="2:7">
      <c r="B59" s="1" t="s">
        <v>100</v>
      </c>
      <c r="C59" t="s">
        <v>99</v>
      </c>
      <c r="D59" s="1" t="s">
        <v>3</v>
      </c>
      <c r="E59" s="1" t="s">
        <v>12</v>
      </c>
      <c r="F59" s="1">
        <v>40</v>
      </c>
      <c r="G59" s="8">
        <v>49.9</v>
      </c>
    </row>
    <row r="60" spans="2:7">
      <c r="B60" s="1" t="s">
        <v>101</v>
      </c>
      <c r="C60" t="s">
        <v>99</v>
      </c>
      <c r="D60" s="1" t="s">
        <v>4</v>
      </c>
      <c r="E60" s="1" t="s">
        <v>12</v>
      </c>
      <c r="F60" s="1">
        <v>18</v>
      </c>
      <c r="G60" s="8">
        <v>49.9</v>
      </c>
    </row>
    <row r="61" spans="2:7">
      <c r="B61" s="1" t="s">
        <v>102</v>
      </c>
      <c r="C61" t="s">
        <v>104</v>
      </c>
      <c r="D61" s="1">
        <v>35</v>
      </c>
      <c r="E61" s="1" t="s">
        <v>14</v>
      </c>
      <c r="F61" s="1">
        <v>48</v>
      </c>
      <c r="G61" s="8">
        <v>89.9</v>
      </c>
    </row>
    <row r="62" spans="2:7">
      <c r="B62" s="1" t="s">
        <v>103</v>
      </c>
      <c r="C62" t="s">
        <v>104</v>
      </c>
      <c r="D62" s="1">
        <v>36</v>
      </c>
      <c r="E62" s="1" t="s">
        <v>14</v>
      </c>
      <c r="F62" s="1">
        <v>38</v>
      </c>
      <c r="G62" s="2">
        <v>89.9</v>
      </c>
    </row>
    <row r="63" spans="2:7">
      <c r="B63" s="1" t="s">
        <v>105</v>
      </c>
      <c r="C63" t="s">
        <v>104</v>
      </c>
      <c r="D63" s="1">
        <v>37</v>
      </c>
      <c r="E63" s="1" t="s">
        <v>14</v>
      </c>
      <c r="F63" s="1">
        <v>45</v>
      </c>
      <c r="G63" s="2">
        <v>89.9</v>
      </c>
    </row>
    <row r="64" spans="2:7">
      <c r="B64" s="1" t="s">
        <v>106</v>
      </c>
      <c r="C64" t="s">
        <v>108</v>
      </c>
      <c r="D64" s="1" t="s">
        <v>2</v>
      </c>
      <c r="E64" s="1" t="s">
        <v>12</v>
      </c>
      <c r="F64" s="1">
        <v>40</v>
      </c>
      <c r="G64" s="2">
        <v>180</v>
      </c>
    </row>
    <row r="65" spans="2:7">
      <c r="B65" s="1" t="s">
        <v>109</v>
      </c>
      <c r="C65" t="s">
        <v>108</v>
      </c>
      <c r="D65" s="1" t="s">
        <v>3</v>
      </c>
      <c r="E65" s="1" t="s">
        <v>12</v>
      </c>
      <c r="F65" s="1">
        <v>35</v>
      </c>
      <c r="G65" s="2">
        <v>180</v>
      </c>
    </row>
    <row r="66" spans="2:7">
      <c r="B66" s="1" t="s">
        <v>110</v>
      </c>
      <c r="C66" t="s">
        <v>108</v>
      </c>
      <c r="D66" s="1" t="s">
        <v>4</v>
      </c>
      <c r="E66" s="1" t="s">
        <v>12</v>
      </c>
      <c r="F66" s="1">
        <v>35</v>
      </c>
      <c r="G66" s="2">
        <v>180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pane ySplit="1" topLeftCell="A2" activePane="bottomLeft" state="frozen"/>
      <selection pane="bottomLeft" activeCell="D6" sqref="D6"/>
    </sheetView>
  </sheetViews>
  <sheetFormatPr defaultRowHeight="14.4"/>
  <cols>
    <col min="1" max="1" width="14.6640625" bestFit="1" customWidth="1"/>
    <col min="2" max="2" width="21.44140625" customWidth="1"/>
    <col min="3" max="3" width="25.6640625" customWidth="1"/>
    <col min="4" max="4" width="24.33203125" customWidth="1"/>
    <col min="5" max="5" width="22.44140625" customWidth="1"/>
    <col min="6" max="6" width="6.6640625" customWidth="1"/>
  </cols>
  <sheetData>
    <row r="1" spans="1:5" s="13" customFormat="1" ht="40.200000000000003" customHeight="1">
      <c r="A1" s="16"/>
      <c r="B1" s="91" t="s">
        <v>82</v>
      </c>
      <c r="C1" s="91"/>
      <c r="D1" s="18"/>
      <c r="E1" s="18"/>
    </row>
    <row r="2" spans="1:5" s="14" customFormat="1" ht="4.5" customHeight="1">
      <c r="A2" s="17"/>
      <c r="B2" s="17"/>
    </row>
    <row r="3" spans="1:5" ht="4.5" customHeight="1">
      <c r="A3" s="15"/>
      <c r="B3" s="15"/>
    </row>
    <row r="4" spans="1:5" s="24" customFormat="1" ht="36" customHeight="1">
      <c r="B4" s="62" t="s">
        <v>30</v>
      </c>
      <c r="C4" s="63" t="s">
        <v>72</v>
      </c>
      <c r="D4" s="63" t="s">
        <v>132</v>
      </c>
      <c r="E4" s="64" t="s">
        <v>133</v>
      </c>
    </row>
    <row r="5" spans="1:5" ht="22.5" customHeight="1">
      <c r="B5" s="65" t="s">
        <v>113</v>
      </c>
      <c r="C5" s="66" t="s">
        <v>71</v>
      </c>
      <c r="D5" s="66" t="s">
        <v>134</v>
      </c>
      <c r="E5" s="67">
        <v>0.2</v>
      </c>
    </row>
    <row r="6" spans="1:5" ht="22.5" customHeight="1">
      <c r="B6" s="65" t="s">
        <v>114</v>
      </c>
      <c r="C6" s="66" t="s">
        <v>73</v>
      </c>
      <c r="D6" s="66" t="s">
        <v>135</v>
      </c>
      <c r="E6" s="67">
        <v>0.15</v>
      </c>
    </row>
    <row r="7" spans="1:5" ht="22.5" customHeight="1">
      <c r="B7" s="65" t="s">
        <v>115</v>
      </c>
      <c r="C7" s="66" t="s">
        <v>70</v>
      </c>
      <c r="D7" s="66" t="s">
        <v>136</v>
      </c>
      <c r="E7" s="67">
        <v>0.1</v>
      </c>
    </row>
    <row r="8" spans="1:5" ht="22.5" customHeight="1">
      <c r="B8" s="65" t="s">
        <v>116</v>
      </c>
      <c r="C8" s="66" t="s">
        <v>118</v>
      </c>
      <c r="D8" s="66" t="s">
        <v>137</v>
      </c>
      <c r="E8" s="67">
        <v>0.2</v>
      </c>
    </row>
    <row r="9" spans="1:5" ht="22.5" customHeight="1">
      <c r="B9" s="68" t="s">
        <v>117</v>
      </c>
      <c r="C9" s="69" t="s">
        <v>119</v>
      </c>
      <c r="D9" s="69" t="s">
        <v>138</v>
      </c>
      <c r="E9" s="70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M86"/>
  <sheetViews>
    <sheetView topLeftCell="B1" zoomScaleNormal="100" workbookViewId="0">
      <pane ySplit="1" topLeftCell="A2" activePane="bottomLeft" state="frozen"/>
      <selection activeCell="B1" sqref="B1"/>
      <selection pane="bottomLeft" activeCell="E6" sqref="E6"/>
    </sheetView>
  </sheetViews>
  <sheetFormatPr defaultRowHeight="14.4"/>
  <cols>
    <col min="1" max="1" width="8.88671875" style="1" hidden="1" customWidth="1"/>
    <col min="2" max="2" width="11.5546875" style="1" bestFit="1" customWidth="1"/>
    <col min="3" max="3" width="11.5546875" style="1" customWidth="1"/>
    <col min="4" max="4" width="16.6640625" style="1" customWidth="1"/>
    <col min="5" max="5" width="10.109375" bestFit="1" customWidth="1"/>
    <col min="6" max="6" width="17.21875" customWidth="1"/>
    <col min="7" max="7" width="13.109375" bestFit="1" customWidth="1"/>
    <col min="8" max="9" width="16" customWidth="1"/>
    <col min="10" max="11" width="17" customWidth="1"/>
    <col min="12" max="12" width="20.33203125" customWidth="1"/>
    <col min="13" max="13" width="17" bestFit="1" customWidth="1"/>
  </cols>
  <sheetData>
    <row r="1" spans="1:13" s="13" customFormat="1" ht="40.200000000000003" customHeight="1">
      <c r="A1" s="16"/>
      <c r="B1" s="20"/>
      <c r="C1" s="20" t="s">
        <v>121</v>
      </c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s="14" customFormat="1" ht="4.5" customHeight="1">
      <c r="A2" s="17"/>
      <c r="B2" s="17"/>
      <c r="C2" s="17"/>
      <c r="D2" s="17"/>
      <c r="E2" s="17"/>
    </row>
    <row r="3" spans="1:13" ht="4.5" customHeight="1">
      <c r="A3" s="15"/>
      <c r="B3" s="15"/>
      <c r="C3" s="15"/>
      <c r="D3" s="15"/>
      <c r="E3" s="15"/>
    </row>
    <row r="4" spans="1:13" s="40" customFormat="1" ht="36">
      <c r="A4" s="37" t="s">
        <v>112</v>
      </c>
      <c r="B4" s="38" t="s">
        <v>74</v>
      </c>
      <c r="C4" s="38" t="s">
        <v>30</v>
      </c>
      <c r="D4" s="38" t="s">
        <v>10</v>
      </c>
      <c r="E4" s="38" t="s">
        <v>15</v>
      </c>
      <c r="F4" s="38" t="s">
        <v>11</v>
      </c>
      <c r="G4" s="38" t="s">
        <v>155</v>
      </c>
      <c r="H4" s="41" t="s">
        <v>156</v>
      </c>
      <c r="I4" s="41" t="s">
        <v>157</v>
      </c>
      <c r="J4" s="41" t="s">
        <v>158</v>
      </c>
      <c r="K4" s="38" t="s">
        <v>159</v>
      </c>
      <c r="L4" s="39" t="s">
        <v>16</v>
      </c>
      <c r="M4" s="38" t="s">
        <v>72</v>
      </c>
    </row>
    <row r="5" spans="1:13">
      <c r="A5" s="4">
        <f>MONTH(TB_Vendas[[#This Row],[Data]])</f>
        <v>1</v>
      </c>
      <c r="B5" s="3">
        <v>44931</v>
      </c>
      <c r="C5" s="4" t="s">
        <v>36</v>
      </c>
      <c r="D5" s="4" t="str">
        <f>_xlfn.XLOOKUP(TB_Vendas[[#This Row],[Código]],TB_Produtos[Código],TB_Produtos[Categoria])</f>
        <v>Acessórios</v>
      </c>
      <c r="E5" s="1">
        <v>1</v>
      </c>
      <c r="F5" s="7">
        <f>VLOOKUP(TB_Vendas[[#This Row],[Código]],Produtos!$B$6:$G$66,6,0)</f>
        <v>39.9</v>
      </c>
      <c r="G5" s="1">
        <f>_xlfn.XMATCH(TB_Vendas[[#This Row],[Categoria]],Desc_Categorias,0)</f>
        <v>2</v>
      </c>
      <c r="H5" s="31">
        <f>VLOOKUP(TB_Vendas[[#This Row],[Qtd]],Desc_TabelaToda,TB_Vendas[[#This Row],[Indice]],TRUE)</f>
        <v>0</v>
      </c>
      <c r="I5" s="31" cm="1">
        <f t="array" ref="I5">INDEX(Desc_TabelaToda,MATCH(TB_Vendas[[#This Row],[Qtd]],Desc_Quantidades,1),MATCH(_xlfn.XLOOKUP(TB_Vendas[[#This Row],[Código]],TB_Produtos[[#All],[Código]],TB_Produtos[[#All],[Categoria]]),Desc_Categorias,0))</f>
        <v>0</v>
      </c>
      <c r="J5" s="31">
        <f>_xlfn.XLOOKUP(TB_Vendas[[#This Row],[Vendedor]],Vendedores!$B$5:$B$9,Vendedores!$E$5:$E$9)</f>
        <v>0.15</v>
      </c>
      <c r="K5" s="31">
        <f>IF(TB_Vendas[[#This Row],[Desconto 
(Diretão)]]&lt;=TB_Vendas[[#This Row],[Desconto 
(Vendedor)]],TB_Vendas[[#This Row],[Desconto 
(Diretão)]],TB_Vendas[[#This Row],[Desconto 
(Vendedor)]])</f>
        <v>0</v>
      </c>
      <c r="L5" s="2">
        <f>TB_Vendas[[#This Row],[Preço Unitário]]*TB_Vendas[[#This Row],[Qtd]]</f>
        <v>39.9</v>
      </c>
      <c r="M5" s="1" t="s">
        <v>114</v>
      </c>
    </row>
    <row r="6" spans="1:13">
      <c r="A6" s="4">
        <f>MONTH(TB_Vendas[[#This Row],[Data]])</f>
        <v>1</v>
      </c>
      <c r="B6" s="3">
        <v>44932</v>
      </c>
      <c r="C6" s="4" t="s">
        <v>35</v>
      </c>
      <c r="D6" s="4" t="str">
        <f>_xlfn.XLOOKUP(TB_Vendas[[#This Row],[Código]],TB_Produtos[Código],TB_Produtos[Categoria])</f>
        <v>Acessórios</v>
      </c>
      <c r="E6" s="1">
        <v>1</v>
      </c>
      <c r="F6" s="7">
        <f>VLOOKUP(TB_Vendas[[#This Row],[Código]],Produtos!$B$6:$G$66,6,0)</f>
        <v>259.89999999999998</v>
      </c>
      <c r="G6" s="1">
        <f>_xlfn.XMATCH(TB_Vendas[[#This Row],[Categoria]],Desc_Categorias,0)</f>
        <v>2</v>
      </c>
      <c r="H6" s="31">
        <f>VLOOKUP(TB_Vendas[[#This Row],[Qtd]],Desc_TabelaToda,TB_Vendas[[#This Row],[Indice]],TRUE)</f>
        <v>0</v>
      </c>
      <c r="I6" s="31" cm="1">
        <f t="array" ref="I6">INDEX(Desc_TabelaToda,MATCH(TB_Vendas[[#This Row],[Qtd]],Desc_Quantidades,1),MATCH(_xlfn.XLOOKUP(TB_Vendas[[#This Row],[Código]],TB_Produtos[[#All],[Código]],TB_Produtos[[#All],[Categoria]]),Desc_Categorias,0))</f>
        <v>0</v>
      </c>
      <c r="J6" s="31">
        <f>_xlfn.XLOOKUP(TB_Vendas[[#This Row],[Vendedor]],Vendedores!$B$5:$B$9,Vendedores!$E$5:$E$9)</f>
        <v>0.15</v>
      </c>
      <c r="K6" s="31">
        <f>IF(TB_Vendas[[#This Row],[Desconto 
(Diretão)]]&lt;=TB_Vendas[[#This Row],[Desconto 
(Vendedor)]],TB_Vendas[[#This Row],[Desconto 
(Diretão)]],TB_Vendas[[#This Row],[Desconto 
(Vendedor)]])</f>
        <v>0</v>
      </c>
      <c r="L6" s="2">
        <f>TB_Vendas[[#This Row],[Preço Unitário]]*TB_Vendas[[#This Row],[Qtd]]</f>
        <v>259.89999999999998</v>
      </c>
      <c r="M6" s="1" t="s">
        <v>114</v>
      </c>
    </row>
    <row r="7" spans="1:13">
      <c r="A7" s="4">
        <f>MONTH(TB_Vendas[[#This Row],[Data]])</f>
        <v>1</v>
      </c>
      <c r="B7" s="3">
        <v>44933</v>
      </c>
      <c r="C7" s="4" t="s">
        <v>97</v>
      </c>
      <c r="D7" s="4" t="str">
        <f>_xlfn.XLOOKUP(TB_Vendas[[#This Row],[Código]],TB_Produtos[Código],TB_Produtos[Categoria])</f>
        <v>Vestuário</v>
      </c>
      <c r="E7" s="1">
        <v>2</v>
      </c>
      <c r="F7" s="7">
        <f>VLOOKUP(TB_Vendas[[#This Row],[Código]],Produtos!$B$6:$G$66,6,0)</f>
        <v>32.9</v>
      </c>
      <c r="G7" s="1">
        <f>_xlfn.XMATCH(TB_Vendas[[#This Row],[Categoria]],Desc_Categorias,0)</f>
        <v>3</v>
      </c>
      <c r="H7" s="31">
        <f>VLOOKUP(TB_Vendas[[#This Row],[Qtd]],Desc_TabelaToda,TB_Vendas[[#This Row],[Indice]],TRUE)</f>
        <v>0.15</v>
      </c>
      <c r="I7" s="31" cm="1">
        <f t="array" ref="I7">INDEX(Desc_TabelaToda,MATCH(TB_Vendas[[#This Row],[Qtd]],Desc_Quantidades,1),MATCH(_xlfn.XLOOKUP(TB_Vendas[[#This Row],[Código]],TB_Produtos[[#All],[Código]],TB_Produtos[[#All],[Categoria]]),Desc_Categorias,0))</f>
        <v>0.15</v>
      </c>
      <c r="J7" s="31">
        <f>_xlfn.XLOOKUP(TB_Vendas[[#This Row],[Vendedor]],Vendedores!$B$5:$B$9,Vendedores!$E$5:$E$9)</f>
        <v>0.2</v>
      </c>
      <c r="K7" s="31">
        <f>IF(TB_Vendas[[#This Row],[Desconto 
(Diretão)]]&lt;=TB_Vendas[[#This Row],[Desconto 
(Vendedor)]],TB_Vendas[[#This Row],[Desconto 
(Diretão)]],TB_Vendas[[#This Row],[Desconto 
(Vendedor)]])</f>
        <v>0.15</v>
      </c>
      <c r="L7" s="2">
        <f>TB_Vendas[[#This Row],[Preço Unitário]]*TB_Vendas[[#This Row],[Qtd]]</f>
        <v>65.8</v>
      </c>
      <c r="M7" s="1" t="s">
        <v>113</v>
      </c>
    </row>
    <row r="8" spans="1:13">
      <c r="A8" s="4">
        <f>MONTH(TB_Vendas[[#This Row],[Data]])</f>
        <v>1</v>
      </c>
      <c r="B8" s="3">
        <v>44938</v>
      </c>
      <c r="C8" s="4" t="s">
        <v>41</v>
      </c>
      <c r="D8" s="4" t="str">
        <f>_xlfn.XLOOKUP(TB_Vendas[[#This Row],[Código]],TB_Produtos[Código],TB_Produtos[Categoria])</f>
        <v>Vestuário</v>
      </c>
      <c r="E8" s="1">
        <v>1</v>
      </c>
      <c r="F8" s="7">
        <f>VLOOKUP(TB_Vendas[[#This Row],[Código]],Produtos!$B$6:$G$66,6,0)</f>
        <v>46.9</v>
      </c>
      <c r="G8" s="1">
        <f>_xlfn.XMATCH(TB_Vendas[[#This Row],[Categoria]],Desc_Categorias,0)</f>
        <v>3</v>
      </c>
      <c r="H8" s="31">
        <f>VLOOKUP(TB_Vendas[[#This Row],[Qtd]],Desc_TabelaToda,TB_Vendas[[#This Row],[Indice]],TRUE)</f>
        <v>0.1</v>
      </c>
      <c r="I8" s="31" cm="1">
        <f t="array" ref="I8">INDEX(Desc_TabelaToda,MATCH(TB_Vendas[[#This Row],[Qtd]],Desc_Quantidades,1),MATCH(_xlfn.XLOOKUP(TB_Vendas[[#This Row],[Código]],TB_Produtos[[#All],[Código]],TB_Produtos[[#All],[Categoria]]),Desc_Categorias,0))</f>
        <v>0.1</v>
      </c>
      <c r="J8" s="31">
        <f>_xlfn.XLOOKUP(TB_Vendas[[#This Row],[Vendedor]],Vendedores!$B$5:$B$9,Vendedores!$E$5:$E$9)</f>
        <v>0.15</v>
      </c>
      <c r="K8" s="31">
        <f>IF(TB_Vendas[[#This Row],[Desconto 
(Diretão)]]&lt;=TB_Vendas[[#This Row],[Desconto 
(Vendedor)]],TB_Vendas[[#This Row],[Desconto 
(Diretão)]],TB_Vendas[[#This Row],[Desconto 
(Vendedor)]])</f>
        <v>0.1</v>
      </c>
      <c r="L8" s="2">
        <f>TB_Vendas[[#This Row],[Preço Unitário]]*TB_Vendas[[#This Row],[Qtd]]</f>
        <v>46.9</v>
      </c>
      <c r="M8" s="1" t="s">
        <v>117</v>
      </c>
    </row>
    <row r="9" spans="1:13">
      <c r="A9" s="4">
        <f>MONTH(TB_Vendas[[#This Row],[Data]])</f>
        <v>1</v>
      </c>
      <c r="B9" s="3">
        <v>44939</v>
      </c>
      <c r="C9" s="4" t="s">
        <v>47</v>
      </c>
      <c r="D9" s="4" t="str">
        <f>_xlfn.XLOOKUP(TB_Vendas[[#This Row],[Código]],TB_Produtos[Código],TB_Produtos[Categoria])</f>
        <v>Vestuário</v>
      </c>
      <c r="E9" s="1">
        <v>1</v>
      </c>
      <c r="F9" s="7">
        <f>VLOOKUP(TB_Vendas[[#This Row],[Código]],Produtos!$B$6:$G$66,6,0)</f>
        <v>29.9</v>
      </c>
      <c r="G9" s="1">
        <f>_xlfn.XMATCH(TB_Vendas[[#This Row],[Categoria]],Desc_Categorias,0)</f>
        <v>3</v>
      </c>
      <c r="H9" s="31">
        <f>VLOOKUP(TB_Vendas[[#This Row],[Qtd]],Desc_TabelaToda,TB_Vendas[[#This Row],[Indice]],TRUE)</f>
        <v>0.1</v>
      </c>
      <c r="I9" s="31" cm="1">
        <f t="array" ref="I9">INDEX(Desc_TabelaToda,MATCH(TB_Vendas[[#This Row],[Qtd]],Desc_Quantidades,1),MATCH(_xlfn.XLOOKUP(TB_Vendas[[#This Row],[Código]],TB_Produtos[[#All],[Código]],TB_Produtos[[#All],[Categoria]]),Desc_Categorias,0))</f>
        <v>0.1</v>
      </c>
      <c r="J9" s="31">
        <f>_xlfn.XLOOKUP(TB_Vendas[[#This Row],[Vendedor]],Vendedores!$B$5:$B$9,Vendedores!$E$5:$E$9)</f>
        <v>0.15</v>
      </c>
      <c r="K9" s="31">
        <f>IF(TB_Vendas[[#This Row],[Desconto 
(Diretão)]]&lt;=TB_Vendas[[#This Row],[Desconto 
(Vendedor)]],TB_Vendas[[#This Row],[Desconto 
(Diretão)]],TB_Vendas[[#This Row],[Desconto 
(Vendedor)]])</f>
        <v>0.1</v>
      </c>
      <c r="L9" s="2">
        <f>TB_Vendas[[#This Row],[Preço Unitário]]*TB_Vendas[[#This Row],[Qtd]]</f>
        <v>29.9</v>
      </c>
      <c r="M9" s="1" t="s">
        <v>114</v>
      </c>
    </row>
    <row r="10" spans="1:13">
      <c r="A10" s="4">
        <f>MONTH(TB_Vendas[[#This Row],[Data]])</f>
        <v>1</v>
      </c>
      <c r="B10" s="3">
        <v>44943</v>
      </c>
      <c r="C10" s="4" t="s">
        <v>55</v>
      </c>
      <c r="D10" s="4" t="str">
        <f>_xlfn.XLOOKUP(TB_Vendas[[#This Row],[Código]],TB_Produtos[Código],TB_Produtos[Categoria])</f>
        <v>Vestuário</v>
      </c>
      <c r="E10" s="1">
        <v>1</v>
      </c>
      <c r="F10" s="7">
        <f>VLOOKUP(TB_Vendas[[#This Row],[Código]],Produtos!$B$6:$G$66,6,0)</f>
        <v>299.89999999999998</v>
      </c>
      <c r="G10" s="1">
        <f>_xlfn.XMATCH(TB_Vendas[[#This Row],[Categoria]],Desc_Categorias,0)</f>
        <v>3</v>
      </c>
      <c r="H10" s="31">
        <f>VLOOKUP(TB_Vendas[[#This Row],[Qtd]],Desc_TabelaToda,TB_Vendas[[#This Row],[Indice]],TRUE)</f>
        <v>0.1</v>
      </c>
      <c r="I10" s="31" cm="1">
        <f t="array" ref="I10">INDEX(Desc_TabelaToda,MATCH(TB_Vendas[[#This Row],[Qtd]],Desc_Quantidades,1),MATCH(_xlfn.XLOOKUP(TB_Vendas[[#This Row],[Código]],TB_Produtos[[#All],[Código]],TB_Produtos[[#All],[Categoria]]),Desc_Categorias,0))</f>
        <v>0.1</v>
      </c>
      <c r="J10" s="31">
        <f>_xlfn.XLOOKUP(TB_Vendas[[#This Row],[Vendedor]],Vendedores!$B$5:$B$9,Vendedores!$E$5:$E$9)</f>
        <v>0.15</v>
      </c>
      <c r="K10" s="31">
        <f>IF(TB_Vendas[[#This Row],[Desconto 
(Diretão)]]&lt;=TB_Vendas[[#This Row],[Desconto 
(Vendedor)]],TB_Vendas[[#This Row],[Desconto 
(Diretão)]],TB_Vendas[[#This Row],[Desconto 
(Vendedor)]])</f>
        <v>0.1</v>
      </c>
      <c r="L10" s="2">
        <f>TB_Vendas[[#This Row],[Preço Unitário]]*TB_Vendas[[#This Row],[Qtd]]</f>
        <v>299.89999999999998</v>
      </c>
      <c r="M10" s="1" t="s">
        <v>117</v>
      </c>
    </row>
    <row r="11" spans="1:13">
      <c r="A11" s="4">
        <f>MONTH(TB_Vendas[[#This Row],[Data]])</f>
        <v>1</v>
      </c>
      <c r="B11" s="3">
        <v>44949</v>
      </c>
      <c r="C11" s="4" t="s">
        <v>69</v>
      </c>
      <c r="D11" s="4" t="str">
        <f>_xlfn.XLOOKUP(TB_Vendas[[#This Row],[Código]],TB_Produtos[Código],TB_Produtos[Categoria])</f>
        <v>Vestuário</v>
      </c>
      <c r="E11" s="1">
        <v>1</v>
      </c>
      <c r="F11" s="7">
        <f>VLOOKUP(TB_Vendas[[#This Row],[Código]],Produtos!$B$6:$G$66,6,0)</f>
        <v>146</v>
      </c>
      <c r="G11" s="1">
        <f>_xlfn.XMATCH(TB_Vendas[[#This Row],[Categoria]],Desc_Categorias,0)</f>
        <v>3</v>
      </c>
      <c r="H11" s="31">
        <f>VLOOKUP(TB_Vendas[[#This Row],[Qtd]],Desc_TabelaToda,TB_Vendas[[#This Row],[Indice]],TRUE)</f>
        <v>0.1</v>
      </c>
      <c r="I11" s="31" cm="1">
        <f t="array" ref="I11">INDEX(Desc_TabelaToda,MATCH(TB_Vendas[[#This Row],[Qtd]],Desc_Quantidades,1),MATCH(_xlfn.XLOOKUP(TB_Vendas[[#This Row],[Código]],TB_Produtos[[#All],[Código]],TB_Produtos[[#All],[Categoria]]),Desc_Categorias,0))</f>
        <v>0.1</v>
      </c>
      <c r="J11" s="31">
        <f>_xlfn.XLOOKUP(TB_Vendas[[#This Row],[Vendedor]],Vendedores!$B$5:$B$9,Vendedores!$E$5:$E$9)</f>
        <v>0.1</v>
      </c>
      <c r="K11" s="31">
        <f>IF(TB_Vendas[[#This Row],[Desconto 
(Diretão)]]&lt;=TB_Vendas[[#This Row],[Desconto 
(Vendedor)]],TB_Vendas[[#This Row],[Desconto 
(Diretão)]],TB_Vendas[[#This Row],[Desconto 
(Vendedor)]])</f>
        <v>0.1</v>
      </c>
      <c r="L11" s="2">
        <f>TB_Vendas[[#This Row],[Preço Unitário]]*TB_Vendas[[#This Row],[Qtd]]</f>
        <v>146</v>
      </c>
      <c r="M11" s="1" t="s">
        <v>115</v>
      </c>
    </row>
    <row r="12" spans="1:13">
      <c r="A12" s="4">
        <f>MONTH(TB_Vendas[[#This Row],[Data]])</f>
        <v>1</v>
      </c>
      <c r="B12" s="3">
        <v>44952</v>
      </c>
      <c r="C12" s="4" t="s">
        <v>64</v>
      </c>
      <c r="D12" s="4" t="str">
        <f>_xlfn.XLOOKUP(TB_Vendas[[#This Row],[Código]],TB_Produtos[Código],TB_Produtos[Categoria])</f>
        <v>Vestuário</v>
      </c>
      <c r="E12" s="1">
        <v>2</v>
      </c>
      <c r="F12" s="7">
        <f>VLOOKUP(TB_Vendas[[#This Row],[Código]],Produtos!$B$6:$G$66,6,0)</f>
        <v>89.9</v>
      </c>
      <c r="G12" s="1">
        <f>_xlfn.XMATCH(TB_Vendas[[#This Row],[Categoria]],Desc_Categorias,0)</f>
        <v>3</v>
      </c>
      <c r="H12" s="31">
        <f>VLOOKUP(TB_Vendas[[#This Row],[Qtd]],Desc_TabelaToda,TB_Vendas[[#This Row],[Indice]],TRUE)</f>
        <v>0.15</v>
      </c>
      <c r="I12" s="31" cm="1">
        <f t="array" ref="I12">INDEX(Desc_TabelaToda,MATCH(TB_Vendas[[#This Row],[Qtd]],Desc_Quantidades,1),MATCH(_xlfn.XLOOKUP(TB_Vendas[[#This Row],[Código]],TB_Produtos[[#All],[Código]],TB_Produtos[[#All],[Categoria]]),Desc_Categorias,0))</f>
        <v>0.15</v>
      </c>
      <c r="J12" s="31">
        <f>_xlfn.XLOOKUP(TB_Vendas[[#This Row],[Vendedor]],Vendedores!$B$5:$B$9,Vendedores!$E$5:$E$9)</f>
        <v>0.1</v>
      </c>
      <c r="K12" s="31">
        <f>IF(TB_Vendas[[#This Row],[Desconto 
(Diretão)]]&lt;=TB_Vendas[[#This Row],[Desconto 
(Vendedor)]],TB_Vendas[[#This Row],[Desconto 
(Diretão)]],TB_Vendas[[#This Row],[Desconto 
(Vendedor)]])</f>
        <v>0.1</v>
      </c>
      <c r="L12" s="2">
        <f>TB_Vendas[[#This Row],[Preço Unitário]]*TB_Vendas[[#This Row],[Qtd]]</f>
        <v>179.8</v>
      </c>
      <c r="M12" s="1" t="s">
        <v>115</v>
      </c>
    </row>
    <row r="13" spans="1:13">
      <c r="A13" s="4">
        <f>MONTH(TB_Vendas[[#This Row],[Data]])</f>
        <v>1</v>
      </c>
      <c r="B13" s="3">
        <v>44954</v>
      </c>
      <c r="C13" s="4" t="s">
        <v>62</v>
      </c>
      <c r="D13" s="4" t="str">
        <f>_xlfn.XLOOKUP(TB_Vendas[[#This Row],[Código]],TB_Produtos[Código],TB_Produtos[Categoria])</f>
        <v>Calçado</v>
      </c>
      <c r="E13" s="1">
        <v>2</v>
      </c>
      <c r="F13" s="7">
        <f>VLOOKUP(TB_Vendas[[#This Row],[Código]],Produtos!$B$6:$G$66,6,0)</f>
        <v>250</v>
      </c>
      <c r="G13" s="1">
        <f>_xlfn.XMATCH(TB_Vendas[[#This Row],[Categoria]],Desc_Categorias,0)</f>
        <v>4</v>
      </c>
      <c r="H13" s="31">
        <f>VLOOKUP(TB_Vendas[[#This Row],[Qtd]],Desc_TabelaToda,TB_Vendas[[#This Row],[Indice]],TRUE)</f>
        <v>0.1</v>
      </c>
      <c r="I13" s="31" cm="1">
        <f t="array" ref="I13">INDEX(Desc_TabelaToda,MATCH(TB_Vendas[[#This Row],[Qtd]],Desc_Quantidades,1),MATCH(_xlfn.XLOOKUP(TB_Vendas[[#This Row],[Código]],TB_Produtos[[#All],[Código]],TB_Produtos[[#All],[Categoria]]),Desc_Categorias,0))</f>
        <v>0.1</v>
      </c>
      <c r="J13" s="31">
        <f>_xlfn.XLOOKUP(TB_Vendas[[#This Row],[Vendedor]],Vendedores!$B$5:$B$9,Vendedores!$E$5:$E$9)</f>
        <v>0.15</v>
      </c>
      <c r="K13" s="31">
        <f>IF(TB_Vendas[[#This Row],[Desconto 
(Diretão)]]&lt;=TB_Vendas[[#This Row],[Desconto 
(Vendedor)]],TB_Vendas[[#This Row],[Desconto 
(Diretão)]],TB_Vendas[[#This Row],[Desconto 
(Vendedor)]])</f>
        <v>0.1</v>
      </c>
      <c r="L13" s="2">
        <f>TB_Vendas[[#This Row],[Preço Unitário]]*TB_Vendas[[#This Row],[Qtd]]</f>
        <v>500</v>
      </c>
      <c r="M13" s="1" t="s">
        <v>114</v>
      </c>
    </row>
    <row r="14" spans="1:13">
      <c r="A14" s="4">
        <f>MONTH(TB_Vendas[[#This Row],[Data]])</f>
        <v>1</v>
      </c>
      <c r="B14" s="3">
        <v>44955</v>
      </c>
      <c r="C14" s="4" t="s">
        <v>43</v>
      </c>
      <c r="D14" s="4" t="str">
        <f>_xlfn.XLOOKUP(TB_Vendas[[#This Row],[Código]],TB_Produtos[Código],TB_Produtos[Categoria])</f>
        <v>Vestuário</v>
      </c>
      <c r="E14" s="1">
        <v>1</v>
      </c>
      <c r="F14" s="7">
        <f>VLOOKUP(TB_Vendas[[#This Row],[Código]],Produtos!$B$6:$G$66,6,0)</f>
        <v>39.9</v>
      </c>
      <c r="G14" s="1">
        <f>_xlfn.XMATCH(TB_Vendas[[#This Row],[Categoria]],Desc_Categorias,0)</f>
        <v>3</v>
      </c>
      <c r="H14" s="31">
        <f>VLOOKUP(TB_Vendas[[#This Row],[Qtd]],Desc_TabelaToda,TB_Vendas[[#This Row],[Indice]],TRUE)</f>
        <v>0.1</v>
      </c>
      <c r="I14" s="31" cm="1">
        <f t="array" ref="I14">INDEX(Desc_TabelaToda,MATCH(TB_Vendas[[#This Row],[Qtd]],Desc_Quantidades,1),MATCH(_xlfn.XLOOKUP(TB_Vendas[[#This Row],[Código]],TB_Produtos[[#All],[Código]],TB_Produtos[[#All],[Categoria]]),Desc_Categorias,0))</f>
        <v>0.1</v>
      </c>
      <c r="J14" s="31">
        <f>_xlfn.XLOOKUP(TB_Vendas[[#This Row],[Vendedor]],Vendedores!$B$5:$B$9,Vendedores!$E$5:$E$9)</f>
        <v>0.15</v>
      </c>
      <c r="K14" s="31">
        <f>IF(TB_Vendas[[#This Row],[Desconto 
(Diretão)]]&lt;=TB_Vendas[[#This Row],[Desconto 
(Vendedor)]],TB_Vendas[[#This Row],[Desconto 
(Diretão)]],TB_Vendas[[#This Row],[Desconto 
(Vendedor)]])</f>
        <v>0.1</v>
      </c>
      <c r="L14" s="2">
        <f>TB_Vendas[[#This Row],[Preço Unitário]]*TB_Vendas[[#This Row],[Qtd]]</f>
        <v>39.9</v>
      </c>
      <c r="M14" s="1" t="s">
        <v>114</v>
      </c>
    </row>
    <row r="15" spans="1:13">
      <c r="A15" s="4">
        <f>MONTH(TB_Vendas[[#This Row],[Data]])</f>
        <v>1</v>
      </c>
      <c r="B15" s="3">
        <v>44956</v>
      </c>
      <c r="C15" s="4" t="s">
        <v>68</v>
      </c>
      <c r="D15" s="4" t="str">
        <f>_xlfn.XLOOKUP(TB_Vendas[[#This Row],[Código]],TB_Produtos[Código],TB_Produtos[Categoria])</f>
        <v>Vestuário</v>
      </c>
      <c r="E15" s="1">
        <v>1</v>
      </c>
      <c r="F15" s="7">
        <f>VLOOKUP(TB_Vendas[[#This Row],[Código]],Produtos!$B$6:$G$66,6,0)</f>
        <v>142.9</v>
      </c>
      <c r="G15" s="1">
        <f>_xlfn.XMATCH(TB_Vendas[[#This Row],[Categoria]],Desc_Categorias,0)</f>
        <v>3</v>
      </c>
      <c r="H15" s="31">
        <f>VLOOKUP(TB_Vendas[[#This Row],[Qtd]],Desc_TabelaToda,TB_Vendas[[#This Row],[Indice]],TRUE)</f>
        <v>0.1</v>
      </c>
      <c r="I15" s="31" cm="1">
        <f t="array" ref="I15">INDEX(Desc_TabelaToda,MATCH(TB_Vendas[[#This Row],[Qtd]],Desc_Quantidades,1),MATCH(_xlfn.XLOOKUP(TB_Vendas[[#This Row],[Código]],TB_Produtos[[#All],[Código]],TB_Produtos[[#All],[Categoria]]),Desc_Categorias,0))</f>
        <v>0.1</v>
      </c>
      <c r="J15" s="31">
        <f>_xlfn.XLOOKUP(TB_Vendas[[#This Row],[Vendedor]],Vendedores!$B$5:$B$9,Vendedores!$E$5:$E$9)</f>
        <v>0.2</v>
      </c>
      <c r="K15" s="31">
        <f>IF(TB_Vendas[[#This Row],[Desconto 
(Diretão)]]&lt;=TB_Vendas[[#This Row],[Desconto 
(Vendedor)]],TB_Vendas[[#This Row],[Desconto 
(Diretão)]],TB_Vendas[[#This Row],[Desconto 
(Vendedor)]])</f>
        <v>0.1</v>
      </c>
      <c r="L15" s="2">
        <f>TB_Vendas[[#This Row],[Preço Unitário]]*TB_Vendas[[#This Row],[Qtd]]</f>
        <v>142.9</v>
      </c>
      <c r="M15" s="1" t="s">
        <v>116</v>
      </c>
    </row>
    <row r="16" spans="1:13">
      <c r="A16" s="4">
        <f>MONTH(TB_Vendas[[#This Row],[Data]])</f>
        <v>2</v>
      </c>
      <c r="B16" s="3">
        <v>44960</v>
      </c>
      <c r="C16" s="4" t="s">
        <v>52</v>
      </c>
      <c r="D16" s="4" t="str">
        <f>_xlfn.XLOOKUP(TB_Vendas[[#This Row],[Código]],TB_Produtos[Código],TB_Produtos[Categoria])</f>
        <v>Vestuário</v>
      </c>
      <c r="E16" s="1">
        <v>1</v>
      </c>
      <c r="F16" s="7">
        <f>VLOOKUP(TB_Vendas[[#This Row],[Código]],Produtos!$B$6:$G$66,6,0)</f>
        <v>300</v>
      </c>
      <c r="G16" s="1">
        <f>_xlfn.XMATCH(TB_Vendas[[#This Row],[Categoria]],Desc_Categorias,0)</f>
        <v>3</v>
      </c>
      <c r="H16" s="31">
        <f>VLOOKUP(TB_Vendas[[#This Row],[Qtd]],Desc_TabelaToda,TB_Vendas[[#This Row],[Indice]],TRUE)</f>
        <v>0.1</v>
      </c>
      <c r="I16" s="31" cm="1">
        <f t="array" ref="I16">INDEX(Desc_TabelaToda,MATCH(TB_Vendas[[#This Row],[Qtd]],Desc_Quantidades,1),MATCH(_xlfn.XLOOKUP(TB_Vendas[[#This Row],[Código]],TB_Produtos[[#All],[Código]],TB_Produtos[[#All],[Categoria]]),Desc_Categorias,0))</f>
        <v>0.1</v>
      </c>
      <c r="J16" s="31">
        <f>_xlfn.XLOOKUP(TB_Vendas[[#This Row],[Vendedor]],Vendedores!$B$5:$B$9,Vendedores!$E$5:$E$9)</f>
        <v>0.1</v>
      </c>
      <c r="K16" s="31">
        <f>IF(TB_Vendas[[#This Row],[Desconto 
(Diretão)]]&lt;=TB_Vendas[[#This Row],[Desconto 
(Vendedor)]],TB_Vendas[[#This Row],[Desconto 
(Diretão)]],TB_Vendas[[#This Row],[Desconto 
(Vendedor)]])</f>
        <v>0.1</v>
      </c>
      <c r="L16" s="2">
        <f>TB_Vendas[[#This Row],[Preço Unitário]]*TB_Vendas[[#This Row],[Qtd]]</f>
        <v>300</v>
      </c>
      <c r="M16" s="1" t="s">
        <v>115</v>
      </c>
    </row>
    <row r="17" spans="1:13">
      <c r="A17" s="4">
        <f>MONTH(TB_Vendas[[#This Row],[Data]])</f>
        <v>2</v>
      </c>
      <c r="B17" s="3">
        <v>44962</v>
      </c>
      <c r="C17" s="4" t="s">
        <v>93</v>
      </c>
      <c r="D17" s="4" t="str">
        <f>_xlfn.XLOOKUP(TB_Vendas[[#This Row],[Código]],TB_Produtos[Código],TB_Produtos[Categoria])</f>
        <v>Vestuário</v>
      </c>
      <c r="E17" s="1">
        <v>2</v>
      </c>
      <c r="F17" s="7">
        <f>VLOOKUP(TB_Vendas[[#This Row],[Código]],Produtos!$B$6:$G$66,6,0)</f>
        <v>289.89999999999998</v>
      </c>
      <c r="G17" s="1">
        <f>_xlfn.XMATCH(TB_Vendas[[#This Row],[Categoria]],Desc_Categorias,0)</f>
        <v>3</v>
      </c>
      <c r="H17" s="31">
        <f>VLOOKUP(TB_Vendas[[#This Row],[Qtd]],Desc_TabelaToda,TB_Vendas[[#This Row],[Indice]],TRUE)</f>
        <v>0.15</v>
      </c>
      <c r="I17" s="31" cm="1">
        <f t="array" ref="I17">INDEX(Desc_TabelaToda,MATCH(TB_Vendas[[#This Row],[Qtd]],Desc_Quantidades,1),MATCH(_xlfn.XLOOKUP(TB_Vendas[[#This Row],[Código]],TB_Produtos[[#All],[Código]],TB_Produtos[[#All],[Categoria]]),Desc_Categorias,0))</f>
        <v>0.15</v>
      </c>
      <c r="J17" s="31">
        <f>_xlfn.XLOOKUP(TB_Vendas[[#This Row],[Vendedor]],Vendedores!$B$5:$B$9,Vendedores!$E$5:$E$9)</f>
        <v>0.2</v>
      </c>
      <c r="K17" s="31">
        <f>IF(TB_Vendas[[#This Row],[Desconto 
(Diretão)]]&lt;=TB_Vendas[[#This Row],[Desconto 
(Vendedor)]],TB_Vendas[[#This Row],[Desconto 
(Diretão)]],TB_Vendas[[#This Row],[Desconto 
(Vendedor)]])</f>
        <v>0.15</v>
      </c>
      <c r="L17" s="2">
        <f>TB_Vendas[[#This Row],[Preço Unitário]]*TB_Vendas[[#This Row],[Qtd]]</f>
        <v>579.79999999999995</v>
      </c>
      <c r="M17" s="1" t="s">
        <v>116</v>
      </c>
    </row>
    <row r="18" spans="1:13">
      <c r="A18" s="4">
        <f>MONTH(TB_Vendas[[#This Row],[Data]])</f>
        <v>2</v>
      </c>
      <c r="B18" s="3">
        <v>44975</v>
      </c>
      <c r="C18" s="4" t="s">
        <v>58</v>
      </c>
      <c r="D18" s="4" t="str">
        <f>_xlfn.XLOOKUP(TB_Vendas[[#This Row],[Código]],TB_Produtos[Código],TB_Produtos[Categoria])</f>
        <v>Calçado</v>
      </c>
      <c r="E18" s="1">
        <v>1</v>
      </c>
      <c r="F18" s="7">
        <f>VLOOKUP(TB_Vendas[[#This Row],[Código]],Produtos!$B$6:$G$66,6,0)</f>
        <v>249.9</v>
      </c>
      <c r="G18" s="1">
        <f>_xlfn.XMATCH(TB_Vendas[[#This Row],[Categoria]],Desc_Categorias,0)</f>
        <v>4</v>
      </c>
      <c r="H18" s="31">
        <f>VLOOKUP(TB_Vendas[[#This Row],[Qtd]],Desc_TabelaToda,TB_Vendas[[#This Row],[Indice]],TRUE)</f>
        <v>0</v>
      </c>
      <c r="I18" s="31" cm="1">
        <f t="array" ref="I18">INDEX(Desc_TabelaToda,MATCH(TB_Vendas[[#This Row],[Qtd]],Desc_Quantidades,1),MATCH(_xlfn.XLOOKUP(TB_Vendas[[#This Row],[Código]],TB_Produtos[[#All],[Código]],TB_Produtos[[#All],[Categoria]]),Desc_Categorias,0))</f>
        <v>0</v>
      </c>
      <c r="J18" s="31">
        <f>_xlfn.XLOOKUP(TB_Vendas[[#This Row],[Vendedor]],Vendedores!$B$5:$B$9,Vendedores!$E$5:$E$9)</f>
        <v>0.2</v>
      </c>
      <c r="K18" s="31">
        <f>IF(TB_Vendas[[#This Row],[Desconto 
(Diretão)]]&lt;=TB_Vendas[[#This Row],[Desconto 
(Vendedor)]],TB_Vendas[[#This Row],[Desconto 
(Diretão)]],TB_Vendas[[#This Row],[Desconto 
(Vendedor)]])</f>
        <v>0</v>
      </c>
      <c r="L18" s="2">
        <f>TB_Vendas[[#This Row],[Preço Unitário]]*TB_Vendas[[#This Row],[Qtd]]</f>
        <v>249.9</v>
      </c>
      <c r="M18" s="1" t="s">
        <v>116</v>
      </c>
    </row>
    <row r="19" spans="1:13">
      <c r="A19" s="4">
        <f>MONTH(TB_Vendas[[#This Row],[Data]])</f>
        <v>2</v>
      </c>
      <c r="B19" s="3">
        <v>44978</v>
      </c>
      <c r="C19" s="4" t="s">
        <v>43</v>
      </c>
      <c r="D19" s="4" t="str">
        <f>_xlfn.XLOOKUP(TB_Vendas[[#This Row],[Código]],TB_Produtos[Código],TB_Produtos[Categoria])</f>
        <v>Vestuário</v>
      </c>
      <c r="E19" s="1">
        <v>2</v>
      </c>
      <c r="F19" s="7">
        <f>VLOOKUP(TB_Vendas[[#This Row],[Código]],Produtos!$B$6:$G$66,6,0)</f>
        <v>39.9</v>
      </c>
      <c r="G19" s="1">
        <f>_xlfn.XMATCH(TB_Vendas[[#This Row],[Categoria]],Desc_Categorias,0)</f>
        <v>3</v>
      </c>
      <c r="H19" s="31">
        <f>VLOOKUP(TB_Vendas[[#This Row],[Qtd]],Desc_TabelaToda,TB_Vendas[[#This Row],[Indice]],TRUE)</f>
        <v>0.15</v>
      </c>
      <c r="I19" s="31" cm="1">
        <f t="array" ref="I19">INDEX(Desc_TabelaToda,MATCH(TB_Vendas[[#This Row],[Qtd]],Desc_Quantidades,1),MATCH(_xlfn.XLOOKUP(TB_Vendas[[#This Row],[Código]],TB_Produtos[[#All],[Código]],TB_Produtos[[#All],[Categoria]]),Desc_Categorias,0))</f>
        <v>0.15</v>
      </c>
      <c r="J19" s="31">
        <f>_xlfn.XLOOKUP(TB_Vendas[[#This Row],[Vendedor]],Vendedores!$B$5:$B$9,Vendedores!$E$5:$E$9)</f>
        <v>0.2</v>
      </c>
      <c r="K19" s="31">
        <f>IF(TB_Vendas[[#This Row],[Desconto 
(Diretão)]]&lt;=TB_Vendas[[#This Row],[Desconto 
(Vendedor)]],TB_Vendas[[#This Row],[Desconto 
(Diretão)]],TB_Vendas[[#This Row],[Desconto 
(Vendedor)]])</f>
        <v>0.15</v>
      </c>
      <c r="L19" s="2">
        <f>TB_Vendas[[#This Row],[Preço Unitário]]*TB_Vendas[[#This Row],[Qtd]]</f>
        <v>79.8</v>
      </c>
      <c r="M19" s="1" t="s">
        <v>116</v>
      </c>
    </row>
    <row r="20" spans="1:13">
      <c r="A20" s="4">
        <f>MONTH(TB_Vendas[[#This Row],[Data]])</f>
        <v>2</v>
      </c>
      <c r="B20" s="3">
        <v>44981</v>
      </c>
      <c r="C20" s="4" t="s">
        <v>90</v>
      </c>
      <c r="D20" s="4" t="str">
        <f>_xlfn.XLOOKUP(TB_Vendas[[#This Row],[Código]],TB_Produtos[Código],TB_Produtos[Categoria])</f>
        <v>Vestuário</v>
      </c>
      <c r="E20" s="1">
        <v>4</v>
      </c>
      <c r="F20" s="7">
        <f>VLOOKUP(TB_Vendas[[#This Row],[Código]],Produtos!$B$6:$G$66,6,0)</f>
        <v>289.89999999999998</v>
      </c>
      <c r="G20" s="1">
        <f>_xlfn.XMATCH(TB_Vendas[[#This Row],[Categoria]],Desc_Categorias,0)</f>
        <v>3</v>
      </c>
      <c r="H20" s="31">
        <f>VLOOKUP(TB_Vendas[[#This Row],[Qtd]],Desc_TabelaToda,TB_Vendas[[#This Row],[Indice]],TRUE)</f>
        <v>0.2</v>
      </c>
      <c r="I20" s="31" cm="1">
        <f t="array" ref="I20">INDEX(Desc_TabelaToda,MATCH(TB_Vendas[[#This Row],[Qtd]],Desc_Quantidades,1),MATCH(_xlfn.XLOOKUP(TB_Vendas[[#This Row],[Código]],TB_Produtos[[#All],[Código]],TB_Produtos[[#All],[Categoria]]),Desc_Categorias,0))</f>
        <v>0.2</v>
      </c>
      <c r="J20" s="31">
        <f>_xlfn.XLOOKUP(TB_Vendas[[#This Row],[Vendedor]],Vendedores!$B$5:$B$9,Vendedores!$E$5:$E$9)</f>
        <v>0.2</v>
      </c>
      <c r="K20" s="31">
        <f>IF(TB_Vendas[[#This Row],[Desconto 
(Diretão)]]&lt;=TB_Vendas[[#This Row],[Desconto 
(Vendedor)]],TB_Vendas[[#This Row],[Desconto 
(Diretão)]],TB_Vendas[[#This Row],[Desconto 
(Vendedor)]])</f>
        <v>0.2</v>
      </c>
      <c r="L20" s="2">
        <f>TB_Vendas[[#This Row],[Preço Unitário]]*TB_Vendas[[#This Row],[Qtd]]</f>
        <v>1159.5999999999999</v>
      </c>
      <c r="M20" s="1" t="s">
        <v>116</v>
      </c>
    </row>
    <row r="21" spans="1:13">
      <c r="A21" s="4">
        <f>MONTH(TB_Vendas[[#This Row],[Data]])</f>
        <v>2</v>
      </c>
      <c r="B21" s="3">
        <v>44982</v>
      </c>
      <c r="C21" s="4" t="s">
        <v>110</v>
      </c>
      <c r="D21" s="4" t="str">
        <f>_xlfn.XLOOKUP(TB_Vendas[[#This Row],[Código]],TB_Produtos[Código],TB_Produtos[Categoria])</f>
        <v>Vestuário</v>
      </c>
      <c r="E21" s="1">
        <v>3</v>
      </c>
      <c r="F21" s="7">
        <f>VLOOKUP(TB_Vendas[[#This Row],[Código]],Produtos!$B$6:$G$66,6,0)</f>
        <v>180</v>
      </c>
      <c r="G21" s="1">
        <f>_xlfn.XMATCH(TB_Vendas[[#This Row],[Categoria]],Desc_Categorias,0)</f>
        <v>3</v>
      </c>
      <c r="H21" s="31">
        <f>VLOOKUP(TB_Vendas[[#This Row],[Qtd]],Desc_TabelaToda,TB_Vendas[[#This Row],[Indice]],TRUE)</f>
        <v>0.2</v>
      </c>
      <c r="I21" s="31" cm="1">
        <f t="array" ref="I21">INDEX(Desc_TabelaToda,MATCH(TB_Vendas[[#This Row],[Qtd]],Desc_Quantidades,1),MATCH(_xlfn.XLOOKUP(TB_Vendas[[#This Row],[Código]],TB_Produtos[[#All],[Código]],TB_Produtos[[#All],[Categoria]]),Desc_Categorias,0))</f>
        <v>0.2</v>
      </c>
      <c r="J21" s="31">
        <f>_xlfn.XLOOKUP(TB_Vendas[[#This Row],[Vendedor]],Vendedores!$B$5:$B$9,Vendedores!$E$5:$E$9)</f>
        <v>0.15</v>
      </c>
      <c r="K21" s="31">
        <f>IF(TB_Vendas[[#This Row],[Desconto 
(Diretão)]]&lt;=TB_Vendas[[#This Row],[Desconto 
(Vendedor)]],TB_Vendas[[#This Row],[Desconto 
(Diretão)]],TB_Vendas[[#This Row],[Desconto 
(Vendedor)]])</f>
        <v>0.15</v>
      </c>
      <c r="L21" s="2">
        <f>TB_Vendas[[#This Row],[Preço Unitário]]*TB_Vendas[[#This Row],[Qtd]]</f>
        <v>540</v>
      </c>
      <c r="M21" s="1" t="s">
        <v>114</v>
      </c>
    </row>
    <row r="22" spans="1:13">
      <c r="A22" s="4">
        <f>MONTH(TB_Vendas[[#This Row],[Data]])</f>
        <v>2</v>
      </c>
      <c r="B22" s="3">
        <v>44983</v>
      </c>
      <c r="C22" s="4" t="s">
        <v>96</v>
      </c>
      <c r="D22" s="4" t="str">
        <f>_xlfn.XLOOKUP(TB_Vendas[[#This Row],[Código]],TB_Produtos[Código],TB_Produtos[Categoria])</f>
        <v>Vestuário</v>
      </c>
      <c r="E22" s="1">
        <v>2</v>
      </c>
      <c r="F22" s="7">
        <f>VLOOKUP(TB_Vendas[[#This Row],[Código]],Produtos!$B$6:$G$66,6,0)</f>
        <v>32.9</v>
      </c>
      <c r="G22" s="1">
        <f>_xlfn.XMATCH(TB_Vendas[[#This Row],[Categoria]],Desc_Categorias,0)</f>
        <v>3</v>
      </c>
      <c r="H22" s="31">
        <f>VLOOKUP(TB_Vendas[[#This Row],[Qtd]],Desc_TabelaToda,TB_Vendas[[#This Row],[Indice]],TRUE)</f>
        <v>0.15</v>
      </c>
      <c r="I22" s="31" cm="1">
        <f t="array" ref="I22">INDEX(Desc_TabelaToda,MATCH(TB_Vendas[[#This Row],[Qtd]],Desc_Quantidades,1),MATCH(_xlfn.XLOOKUP(TB_Vendas[[#This Row],[Código]],TB_Produtos[[#All],[Código]],TB_Produtos[[#All],[Categoria]]),Desc_Categorias,0))</f>
        <v>0.15</v>
      </c>
      <c r="J22" s="31">
        <f>_xlfn.XLOOKUP(TB_Vendas[[#This Row],[Vendedor]],Vendedores!$B$5:$B$9,Vendedores!$E$5:$E$9)</f>
        <v>0.2</v>
      </c>
      <c r="K22" s="31">
        <f>IF(TB_Vendas[[#This Row],[Desconto 
(Diretão)]]&lt;=TB_Vendas[[#This Row],[Desconto 
(Vendedor)]],TB_Vendas[[#This Row],[Desconto 
(Diretão)]],TB_Vendas[[#This Row],[Desconto 
(Vendedor)]])</f>
        <v>0.15</v>
      </c>
      <c r="L22" s="2">
        <f>TB_Vendas[[#This Row],[Preço Unitário]]*TB_Vendas[[#This Row],[Qtd]]</f>
        <v>65.8</v>
      </c>
      <c r="M22" s="1" t="s">
        <v>113</v>
      </c>
    </row>
    <row r="23" spans="1:13">
      <c r="A23" s="4">
        <f>MONTH(TB_Vendas[[#This Row],[Data]])</f>
        <v>3</v>
      </c>
      <c r="B23" s="3">
        <v>44986</v>
      </c>
      <c r="C23" s="4" t="s">
        <v>59</v>
      </c>
      <c r="D23" s="4" t="str">
        <f>_xlfn.XLOOKUP(TB_Vendas[[#This Row],[Código]],TB_Produtos[Código],TB_Produtos[Categoria])</f>
        <v>Calçado</v>
      </c>
      <c r="E23" s="1">
        <v>3</v>
      </c>
      <c r="F23" s="7">
        <f>VLOOKUP(TB_Vendas[[#This Row],[Código]],Produtos!$B$6:$G$66,6,0)</f>
        <v>255</v>
      </c>
      <c r="G23" s="1">
        <f>_xlfn.XMATCH(TB_Vendas[[#This Row],[Categoria]],Desc_Categorias,0)</f>
        <v>4</v>
      </c>
      <c r="H23" s="31">
        <f>VLOOKUP(TB_Vendas[[#This Row],[Qtd]],Desc_TabelaToda,TB_Vendas[[#This Row],[Indice]],TRUE)</f>
        <v>0.15</v>
      </c>
      <c r="I23" s="31" cm="1">
        <f t="array" ref="I23">INDEX(Desc_TabelaToda,MATCH(TB_Vendas[[#This Row],[Qtd]],Desc_Quantidades,1),MATCH(_xlfn.XLOOKUP(TB_Vendas[[#This Row],[Código]],TB_Produtos[[#All],[Código]],TB_Produtos[[#All],[Categoria]]),Desc_Categorias,0))</f>
        <v>0.15</v>
      </c>
      <c r="J23" s="31">
        <f>_xlfn.XLOOKUP(TB_Vendas[[#This Row],[Vendedor]],Vendedores!$B$5:$B$9,Vendedores!$E$5:$E$9)</f>
        <v>0.2</v>
      </c>
      <c r="K23" s="31">
        <f>IF(TB_Vendas[[#This Row],[Desconto 
(Diretão)]]&lt;=TB_Vendas[[#This Row],[Desconto 
(Vendedor)]],TB_Vendas[[#This Row],[Desconto 
(Diretão)]],TB_Vendas[[#This Row],[Desconto 
(Vendedor)]])</f>
        <v>0.15</v>
      </c>
      <c r="L23" s="2">
        <f>TB_Vendas[[#This Row],[Preço Unitário]]*TB_Vendas[[#This Row],[Qtd]]</f>
        <v>765</v>
      </c>
      <c r="M23" s="1" t="s">
        <v>116</v>
      </c>
    </row>
    <row r="24" spans="1:13">
      <c r="A24" s="4">
        <f>MONTH(TB_Vendas[[#This Row],[Data]])</f>
        <v>3</v>
      </c>
      <c r="B24" s="3">
        <v>44986</v>
      </c>
      <c r="C24" s="4" t="s">
        <v>68</v>
      </c>
      <c r="D24" s="4" t="str">
        <f>_xlfn.XLOOKUP(TB_Vendas[[#This Row],[Código]],TB_Produtos[Código],TB_Produtos[Categoria])</f>
        <v>Vestuário</v>
      </c>
      <c r="E24" s="1">
        <v>1</v>
      </c>
      <c r="F24" s="7">
        <f>VLOOKUP(TB_Vendas[[#This Row],[Código]],Produtos!$B$6:$G$66,6,0)</f>
        <v>142.9</v>
      </c>
      <c r="G24" s="1">
        <f>_xlfn.XMATCH(TB_Vendas[[#This Row],[Categoria]],Desc_Categorias,0)</f>
        <v>3</v>
      </c>
      <c r="H24" s="31">
        <f>VLOOKUP(TB_Vendas[[#This Row],[Qtd]],Desc_TabelaToda,TB_Vendas[[#This Row],[Indice]],TRUE)</f>
        <v>0.1</v>
      </c>
      <c r="I24" s="31" cm="1">
        <f t="array" ref="I24">INDEX(Desc_TabelaToda,MATCH(TB_Vendas[[#This Row],[Qtd]],Desc_Quantidades,1),MATCH(_xlfn.XLOOKUP(TB_Vendas[[#This Row],[Código]],TB_Produtos[[#All],[Código]],TB_Produtos[[#All],[Categoria]]),Desc_Categorias,0))</f>
        <v>0.1</v>
      </c>
      <c r="J24" s="31">
        <f>_xlfn.XLOOKUP(TB_Vendas[[#This Row],[Vendedor]],Vendedores!$B$5:$B$9,Vendedores!$E$5:$E$9)</f>
        <v>0.2</v>
      </c>
      <c r="K24" s="31">
        <f>IF(TB_Vendas[[#This Row],[Desconto 
(Diretão)]]&lt;=TB_Vendas[[#This Row],[Desconto 
(Vendedor)]],TB_Vendas[[#This Row],[Desconto 
(Diretão)]],TB_Vendas[[#This Row],[Desconto 
(Vendedor)]])</f>
        <v>0.1</v>
      </c>
      <c r="L24" s="2">
        <f>TB_Vendas[[#This Row],[Preço Unitário]]*TB_Vendas[[#This Row],[Qtd]]</f>
        <v>142.9</v>
      </c>
      <c r="M24" s="1" t="s">
        <v>113</v>
      </c>
    </row>
    <row r="25" spans="1:13">
      <c r="A25" s="4">
        <f>MONTH(TB_Vendas[[#This Row],[Data]])</f>
        <v>3</v>
      </c>
      <c r="B25" s="3">
        <v>44987</v>
      </c>
      <c r="C25" s="4" t="s">
        <v>39</v>
      </c>
      <c r="D25" s="4" t="str">
        <f>_xlfn.XLOOKUP(TB_Vendas[[#This Row],[Código]],TB_Produtos[Código],TB_Produtos[Categoria])</f>
        <v>Vestuário</v>
      </c>
      <c r="E25" s="1">
        <v>4</v>
      </c>
      <c r="F25" s="7">
        <f>VLOOKUP(TB_Vendas[[#This Row],[Código]],Produtos!$B$6:$G$66,6,0)</f>
        <v>92.9</v>
      </c>
      <c r="G25" s="1">
        <f>_xlfn.XMATCH(TB_Vendas[[#This Row],[Categoria]],Desc_Categorias,0)</f>
        <v>3</v>
      </c>
      <c r="H25" s="31">
        <f>VLOOKUP(TB_Vendas[[#This Row],[Qtd]],Desc_TabelaToda,TB_Vendas[[#This Row],[Indice]],TRUE)</f>
        <v>0.2</v>
      </c>
      <c r="I25" s="31" cm="1">
        <f t="array" ref="I25">INDEX(Desc_TabelaToda,MATCH(TB_Vendas[[#This Row],[Qtd]],Desc_Quantidades,1),MATCH(_xlfn.XLOOKUP(TB_Vendas[[#This Row],[Código]],TB_Produtos[[#All],[Código]],TB_Produtos[[#All],[Categoria]]),Desc_Categorias,0))</f>
        <v>0.2</v>
      </c>
      <c r="J25" s="31">
        <f>_xlfn.XLOOKUP(TB_Vendas[[#This Row],[Vendedor]],Vendedores!$B$5:$B$9,Vendedores!$E$5:$E$9)</f>
        <v>0.1</v>
      </c>
      <c r="K25" s="31">
        <f>IF(TB_Vendas[[#This Row],[Desconto 
(Diretão)]]&lt;=TB_Vendas[[#This Row],[Desconto 
(Vendedor)]],TB_Vendas[[#This Row],[Desconto 
(Diretão)]],TB_Vendas[[#This Row],[Desconto 
(Vendedor)]])</f>
        <v>0.1</v>
      </c>
      <c r="L25" s="2">
        <f>TB_Vendas[[#This Row],[Preço Unitário]]*TB_Vendas[[#This Row],[Qtd]]</f>
        <v>371.6</v>
      </c>
      <c r="M25" s="1" t="s">
        <v>115</v>
      </c>
    </row>
    <row r="26" spans="1:13">
      <c r="A26" s="4">
        <f>MONTH(TB_Vendas[[#This Row],[Data]])</f>
        <v>3</v>
      </c>
      <c r="B26" s="3">
        <v>44988</v>
      </c>
      <c r="C26" s="4" t="s">
        <v>85</v>
      </c>
      <c r="D26" s="4" t="str">
        <f>_xlfn.XLOOKUP(TB_Vendas[[#This Row],[Código]],TB_Produtos[Código],TB_Produtos[Categoria])</f>
        <v>Vestuário</v>
      </c>
      <c r="E26" s="1">
        <v>2</v>
      </c>
      <c r="F26" s="7">
        <f>VLOOKUP(TB_Vendas[[#This Row],[Código]],Produtos!$B$6:$G$66,6,0)</f>
        <v>54.9</v>
      </c>
      <c r="G26" s="1">
        <f>_xlfn.XMATCH(TB_Vendas[[#This Row],[Categoria]],Desc_Categorias,0)</f>
        <v>3</v>
      </c>
      <c r="H26" s="31">
        <f>VLOOKUP(TB_Vendas[[#This Row],[Qtd]],Desc_TabelaToda,TB_Vendas[[#This Row],[Indice]],TRUE)</f>
        <v>0.15</v>
      </c>
      <c r="I26" s="31" cm="1">
        <f t="array" ref="I26">INDEX(Desc_TabelaToda,MATCH(TB_Vendas[[#This Row],[Qtd]],Desc_Quantidades,1),MATCH(_xlfn.XLOOKUP(TB_Vendas[[#This Row],[Código]],TB_Produtos[[#All],[Código]],TB_Produtos[[#All],[Categoria]]),Desc_Categorias,0))</f>
        <v>0.15</v>
      </c>
      <c r="J26" s="31">
        <f>_xlfn.XLOOKUP(TB_Vendas[[#This Row],[Vendedor]],Vendedores!$B$5:$B$9,Vendedores!$E$5:$E$9)</f>
        <v>0.2</v>
      </c>
      <c r="K26" s="31">
        <f>IF(TB_Vendas[[#This Row],[Desconto 
(Diretão)]]&lt;=TB_Vendas[[#This Row],[Desconto 
(Vendedor)]],TB_Vendas[[#This Row],[Desconto 
(Diretão)]],TB_Vendas[[#This Row],[Desconto 
(Vendedor)]])</f>
        <v>0.15</v>
      </c>
      <c r="L26" s="2">
        <f>TB_Vendas[[#This Row],[Preço Unitário]]*TB_Vendas[[#This Row],[Qtd]]</f>
        <v>109.8</v>
      </c>
      <c r="M26" s="1" t="s">
        <v>113</v>
      </c>
    </row>
    <row r="27" spans="1:13">
      <c r="A27" s="4">
        <f>MONTH(TB_Vendas[[#This Row],[Data]])</f>
        <v>3</v>
      </c>
      <c r="B27" s="3">
        <v>44989</v>
      </c>
      <c r="C27" s="4" t="s">
        <v>68</v>
      </c>
      <c r="D27" s="4" t="str">
        <f>_xlfn.XLOOKUP(TB_Vendas[[#This Row],[Código]],TB_Produtos[Código],TB_Produtos[Categoria])</f>
        <v>Vestuário</v>
      </c>
      <c r="E27" s="1">
        <v>3</v>
      </c>
      <c r="F27" s="7">
        <f>VLOOKUP(TB_Vendas[[#This Row],[Código]],Produtos!$B$6:$G$66,6,0)</f>
        <v>142.9</v>
      </c>
      <c r="G27" s="1">
        <f>_xlfn.XMATCH(TB_Vendas[[#This Row],[Categoria]],Desc_Categorias,0)</f>
        <v>3</v>
      </c>
      <c r="H27" s="31">
        <f>VLOOKUP(TB_Vendas[[#This Row],[Qtd]],Desc_TabelaToda,TB_Vendas[[#This Row],[Indice]],TRUE)</f>
        <v>0.2</v>
      </c>
      <c r="I27" s="31" cm="1">
        <f t="array" ref="I27">INDEX(Desc_TabelaToda,MATCH(TB_Vendas[[#This Row],[Qtd]],Desc_Quantidades,1),MATCH(_xlfn.XLOOKUP(TB_Vendas[[#This Row],[Código]],TB_Produtos[[#All],[Código]],TB_Produtos[[#All],[Categoria]]),Desc_Categorias,0))</f>
        <v>0.2</v>
      </c>
      <c r="J27" s="31">
        <f>_xlfn.XLOOKUP(TB_Vendas[[#This Row],[Vendedor]],Vendedores!$B$5:$B$9,Vendedores!$E$5:$E$9)</f>
        <v>0.15</v>
      </c>
      <c r="K27" s="31">
        <f>IF(TB_Vendas[[#This Row],[Desconto 
(Diretão)]]&lt;=TB_Vendas[[#This Row],[Desconto 
(Vendedor)]],TB_Vendas[[#This Row],[Desconto 
(Diretão)]],TB_Vendas[[#This Row],[Desconto 
(Vendedor)]])</f>
        <v>0.15</v>
      </c>
      <c r="L27" s="2">
        <f>TB_Vendas[[#This Row],[Preço Unitário]]*TB_Vendas[[#This Row],[Qtd]]</f>
        <v>428.70000000000005</v>
      </c>
      <c r="M27" s="1" t="s">
        <v>114</v>
      </c>
    </row>
    <row r="28" spans="1:13">
      <c r="A28" s="4">
        <f>MONTH(TB_Vendas[[#This Row],[Data]])</f>
        <v>3</v>
      </c>
      <c r="B28" s="3">
        <v>44994</v>
      </c>
      <c r="C28" s="4" t="s">
        <v>57</v>
      </c>
      <c r="D28" s="4" t="str">
        <f>_xlfn.XLOOKUP(TB_Vendas[[#This Row],[Código]],TB_Produtos[Código],TB_Produtos[Categoria])</f>
        <v>Acessórios</v>
      </c>
      <c r="E28" s="1">
        <v>2</v>
      </c>
      <c r="F28" s="7">
        <f>VLOOKUP(TB_Vendas[[#This Row],[Código]],Produtos!$B$6:$G$66,6,0)</f>
        <v>120</v>
      </c>
      <c r="G28" s="1">
        <f>_xlfn.XMATCH(TB_Vendas[[#This Row],[Categoria]],Desc_Categorias,0)</f>
        <v>2</v>
      </c>
      <c r="H28" s="31">
        <f>VLOOKUP(TB_Vendas[[#This Row],[Qtd]],Desc_TabelaToda,TB_Vendas[[#This Row],[Indice]],TRUE)</f>
        <v>0.05</v>
      </c>
      <c r="I28" s="31" cm="1">
        <f t="array" ref="I28">INDEX(Desc_TabelaToda,MATCH(TB_Vendas[[#This Row],[Qtd]],Desc_Quantidades,1),MATCH(_xlfn.XLOOKUP(TB_Vendas[[#This Row],[Código]],TB_Produtos[[#All],[Código]],TB_Produtos[[#All],[Categoria]]),Desc_Categorias,0))</f>
        <v>0.05</v>
      </c>
      <c r="J28" s="31">
        <f>_xlfn.XLOOKUP(TB_Vendas[[#This Row],[Vendedor]],Vendedores!$B$5:$B$9,Vendedores!$E$5:$E$9)</f>
        <v>0.15</v>
      </c>
      <c r="K28" s="31">
        <f>IF(TB_Vendas[[#This Row],[Desconto 
(Diretão)]]&lt;=TB_Vendas[[#This Row],[Desconto 
(Vendedor)]],TB_Vendas[[#This Row],[Desconto 
(Diretão)]],TB_Vendas[[#This Row],[Desconto 
(Vendedor)]])</f>
        <v>0.05</v>
      </c>
      <c r="L28" s="2">
        <f>TB_Vendas[[#This Row],[Preço Unitário]]*TB_Vendas[[#This Row],[Qtd]]</f>
        <v>240</v>
      </c>
      <c r="M28" s="1" t="s">
        <v>114</v>
      </c>
    </row>
    <row r="29" spans="1:13">
      <c r="A29" s="4">
        <f>MONTH(TB_Vendas[[#This Row],[Data]])</f>
        <v>3</v>
      </c>
      <c r="B29" s="3">
        <v>44999</v>
      </c>
      <c r="C29" s="4" t="s">
        <v>31</v>
      </c>
      <c r="D29" s="4" t="str">
        <f>_xlfn.XLOOKUP(TB_Vendas[[#This Row],[Código]],TB_Produtos[Código],TB_Produtos[Categoria])</f>
        <v>Vestuário</v>
      </c>
      <c r="E29" s="1">
        <v>1</v>
      </c>
      <c r="F29" s="7">
        <f>VLOOKUP(TB_Vendas[[#This Row],[Código]],Produtos!$B$6:$G$66,6,0)</f>
        <v>65.900000000000006</v>
      </c>
      <c r="G29" s="1">
        <f>_xlfn.XMATCH(TB_Vendas[[#This Row],[Categoria]],Desc_Categorias,0)</f>
        <v>3</v>
      </c>
      <c r="H29" s="31">
        <f>VLOOKUP(TB_Vendas[[#This Row],[Qtd]],Desc_TabelaToda,TB_Vendas[[#This Row],[Indice]],TRUE)</f>
        <v>0.1</v>
      </c>
      <c r="I29" s="31" cm="1">
        <f t="array" ref="I29">INDEX(Desc_TabelaToda,MATCH(TB_Vendas[[#This Row],[Qtd]],Desc_Quantidades,1),MATCH(_xlfn.XLOOKUP(TB_Vendas[[#This Row],[Código]],TB_Produtos[[#All],[Código]],TB_Produtos[[#All],[Categoria]]),Desc_Categorias,0))</f>
        <v>0.1</v>
      </c>
      <c r="J29" s="31">
        <f>_xlfn.XLOOKUP(TB_Vendas[[#This Row],[Vendedor]],Vendedores!$B$5:$B$9,Vendedores!$E$5:$E$9)</f>
        <v>0.2</v>
      </c>
      <c r="K29" s="31">
        <f>IF(TB_Vendas[[#This Row],[Desconto 
(Diretão)]]&lt;=TB_Vendas[[#This Row],[Desconto 
(Vendedor)]],TB_Vendas[[#This Row],[Desconto 
(Diretão)]],TB_Vendas[[#This Row],[Desconto 
(Vendedor)]])</f>
        <v>0.1</v>
      </c>
      <c r="L29" s="2">
        <f>TB_Vendas[[#This Row],[Preço Unitário]]*TB_Vendas[[#This Row],[Qtd]]</f>
        <v>65.900000000000006</v>
      </c>
      <c r="M29" s="1" t="s">
        <v>116</v>
      </c>
    </row>
    <row r="30" spans="1:13">
      <c r="A30" s="4">
        <f>MONTH(TB_Vendas[[#This Row],[Data]])</f>
        <v>3</v>
      </c>
      <c r="B30" s="3">
        <v>45004</v>
      </c>
      <c r="C30" s="4" t="s">
        <v>94</v>
      </c>
      <c r="D30" s="4" t="str">
        <f>_xlfn.XLOOKUP(TB_Vendas[[#This Row],[Código]],TB_Produtos[Código],TB_Produtos[Categoria])</f>
        <v>Vestuário</v>
      </c>
      <c r="E30" s="1">
        <v>5</v>
      </c>
      <c r="F30" s="7">
        <f>VLOOKUP(TB_Vendas[[#This Row],[Código]],Produtos!$B$6:$G$66,6,0)</f>
        <v>32.9</v>
      </c>
      <c r="G30" s="1">
        <f>_xlfn.XMATCH(TB_Vendas[[#This Row],[Categoria]],Desc_Categorias,0)</f>
        <v>3</v>
      </c>
      <c r="H30" s="31">
        <f>VLOOKUP(TB_Vendas[[#This Row],[Qtd]],Desc_TabelaToda,TB_Vendas[[#This Row],[Indice]],TRUE)</f>
        <v>0.25</v>
      </c>
      <c r="I30" s="31" cm="1">
        <f t="array" ref="I30">INDEX(Desc_TabelaToda,MATCH(TB_Vendas[[#This Row],[Qtd]],Desc_Quantidades,1),MATCH(_xlfn.XLOOKUP(TB_Vendas[[#This Row],[Código]],TB_Produtos[[#All],[Código]],TB_Produtos[[#All],[Categoria]]),Desc_Categorias,0))</f>
        <v>0.25</v>
      </c>
      <c r="J30" s="31">
        <f>_xlfn.XLOOKUP(TB_Vendas[[#This Row],[Vendedor]],Vendedores!$B$5:$B$9,Vendedores!$E$5:$E$9)</f>
        <v>0.15</v>
      </c>
      <c r="K30" s="31">
        <f>IF(TB_Vendas[[#This Row],[Desconto 
(Diretão)]]&lt;=TB_Vendas[[#This Row],[Desconto 
(Vendedor)]],TB_Vendas[[#This Row],[Desconto 
(Diretão)]],TB_Vendas[[#This Row],[Desconto 
(Vendedor)]])</f>
        <v>0.15</v>
      </c>
      <c r="L30" s="2">
        <f>TB_Vendas[[#This Row],[Preço Unitário]]*TB_Vendas[[#This Row],[Qtd]]</f>
        <v>164.5</v>
      </c>
      <c r="M30" s="1" t="s">
        <v>117</v>
      </c>
    </row>
    <row r="31" spans="1:13">
      <c r="A31" s="4">
        <f>MONTH(TB_Vendas[[#This Row],[Data]])</f>
        <v>3</v>
      </c>
      <c r="B31" s="3">
        <v>45006</v>
      </c>
      <c r="C31" s="4" t="s">
        <v>109</v>
      </c>
      <c r="D31" s="4" t="str">
        <f>_xlfn.XLOOKUP(TB_Vendas[[#This Row],[Código]],TB_Produtos[Código],TB_Produtos[Categoria])</f>
        <v>Vestuário</v>
      </c>
      <c r="E31" s="1">
        <v>2</v>
      </c>
      <c r="F31" s="7">
        <f>VLOOKUP(TB_Vendas[[#This Row],[Código]],Produtos!$B$6:$G$66,6,0)</f>
        <v>180</v>
      </c>
      <c r="G31" s="1">
        <f>_xlfn.XMATCH(TB_Vendas[[#This Row],[Categoria]],Desc_Categorias,0)</f>
        <v>3</v>
      </c>
      <c r="H31" s="31">
        <f>VLOOKUP(TB_Vendas[[#This Row],[Qtd]],Desc_TabelaToda,TB_Vendas[[#This Row],[Indice]],TRUE)</f>
        <v>0.15</v>
      </c>
      <c r="I31" s="31" cm="1">
        <f t="array" ref="I31">INDEX(Desc_TabelaToda,MATCH(TB_Vendas[[#This Row],[Qtd]],Desc_Quantidades,1),MATCH(_xlfn.XLOOKUP(TB_Vendas[[#This Row],[Código]],TB_Produtos[[#All],[Código]],TB_Produtos[[#All],[Categoria]]),Desc_Categorias,0))</f>
        <v>0.15</v>
      </c>
      <c r="J31" s="31">
        <f>_xlfn.XLOOKUP(TB_Vendas[[#This Row],[Vendedor]],Vendedores!$B$5:$B$9,Vendedores!$E$5:$E$9)</f>
        <v>0.15</v>
      </c>
      <c r="K31" s="31">
        <f>IF(TB_Vendas[[#This Row],[Desconto 
(Diretão)]]&lt;=TB_Vendas[[#This Row],[Desconto 
(Vendedor)]],TB_Vendas[[#This Row],[Desconto 
(Diretão)]],TB_Vendas[[#This Row],[Desconto 
(Vendedor)]])</f>
        <v>0.15</v>
      </c>
      <c r="L31" s="2">
        <f>TB_Vendas[[#This Row],[Preço Unitário]]*TB_Vendas[[#This Row],[Qtd]]</f>
        <v>360</v>
      </c>
      <c r="M31" s="1" t="s">
        <v>114</v>
      </c>
    </row>
    <row r="32" spans="1:13">
      <c r="A32" s="4">
        <f>MONTH(TB_Vendas[[#This Row],[Data]])</f>
        <v>3</v>
      </c>
      <c r="B32" s="3">
        <v>45010</v>
      </c>
      <c r="C32" s="4" t="s">
        <v>56</v>
      </c>
      <c r="D32" s="4" t="str">
        <f>_xlfn.XLOOKUP(TB_Vendas[[#This Row],[Código]],TB_Produtos[Código],TB_Produtos[Categoria])</f>
        <v>Acessórios</v>
      </c>
      <c r="E32" s="1">
        <v>3</v>
      </c>
      <c r="F32" s="7">
        <f>VLOOKUP(TB_Vendas[[#This Row],[Código]],Produtos!$B$6:$G$66,6,0)</f>
        <v>349.9</v>
      </c>
      <c r="G32" s="1">
        <f>_xlfn.XMATCH(TB_Vendas[[#This Row],[Categoria]],Desc_Categorias,0)</f>
        <v>2</v>
      </c>
      <c r="H32" s="31">
        <f>VLOOKUP(TB_Vendas[[#This Row],[Qtd]],Desc_TabelaToda,TB_Vendas[[#This Row],[Indice]],TRUE)</f>
        <v>0.15</v>
      </c>
      <c r="I32" s="31" cm="1">
        <f t="array" ref="I32">INDEX(Desc_TabelaToda,MATCH(TB_Vendas[[#This Row],[Qtd]],Desc_Quantidades,1),MATCH(_xlfn.XLOOKUP(TB_Vendas[[#This Row],[Código]],TB_Produtos[[#All],[Código]],TB_Produtos[[#All],[Categoria]]),Desc_Categorias,0))</f>
        <v>0.15</v>
      </c>
      <c r="J32" s="31">
        <f>_xlfn.XLOOKUP(TB_Vendas[[#This Row],[Vendedor]],Vendedores!$B$5:$B$9,Vendedores!$E$5:$E$9)</f>
        <v>0.2</v>
      </c>
      <c r="K32" s="31">
        <f>IF(TB_Vendas[[#This Row],[Desconto 
(Diretão)]]&lt;=TB_Vendas[[#This Row],[Desconto 
(Vendedor)]],TB_Vendas[[#This Row],[Desconto 
(Diretão)]],TB_Vendas[[#This Row],[Desconto 
(Vendedor)]])</f>
        <v>0.15</v>
      </c>
      <c r="L32" s="2">
        <f>TB_Vendas[[#This Row],[Preço Unitário]]*TB_Vendas[[#This Row],[Qtd]]</f>
        <v>1049.6999999999998</v>
      </c>
      <c r="M32" s="1" t="s">
        <v>113</v>
      </c>
    </row>
    <row r="33" spans="1:13">
      <c r="A33" s="4">
        <f>MONTH(TB_Vendas[[#This Row],[Data]])</f>
        <v>4</v>
      </c>
      <c r="B33" s="3">
        <v>45018</v>
      </c>
      <c r="C33" s="4" t="s">
        <v>88</v>
      </c>
      <c r="D33" s="4" t="str">
        <f>_xlfn.XLOOKUP(TB_Vendas[[#This Row],[Código]],TB_Produtos[Código],TB_Produtos[Categoria])</f>
        <v>Vestuário</v>
      </c>
      <c r="E33" s="1">
        <v>1</v>
      </c>
      <c r="F33" s="7">
        <f>VLOOKUP(TB_Vendas[[#This Row],[Código]],Produtos!$B$6:$G$66,6,0)</f>
        <v>72.5</v>
      </c>
      <c r="G33" s="1">
        <f>_xlfn.XMATCH(TB_Vendas[[#This Row],[Categoria]],Desc_Categorias,0)</f>
        <v>3</v>
      </c>
      <c r="H33" s="31">
        <f>VLOOKUP(TB_Vendas[[#This Row],[Qtd]],Desc_TabelaToda,TB_Vendas[[#This Row],[Indice]],TRUE)</f>
        <v>0.1</v>
      </c>
      <c r="I33" s="31" cm="1">
        <f t="array" ref="I33">INDEX(Desc_TabelaToda,MATCH(TB_Vendas[[#This Row],[Qtd]],Desc_Quantidades,1),MATCH(_xlfn.XLOOKUP(TB_Vendas[[#This Row],[Código]],TB_Produtos[[#All],[Código]],TB_Produtos[[#All],[Categoria]]),Desc_Categorias,0))</f>
        <v>0.1</v>
      </c>
      <c r="J33" s="31">
        <f>_xlfn.XLOOKUP(TB_Vendas[[#This Row],[Vendedor]],Vendedores!$B$5:$B$9,Vendedores!$E$5:$E$9)</f>
        <v>0.1</v>
      </c>
      <c r="K33" s="31">
        <f>IF(TB_Vendas[[#This Row],[Desconto 
(Diretão)]]&lt;=TB_Vendas[[#This Row],[Desconto 
(Vendedor)]],TB_Vendas[[#This Row],[Desconto 
(Diretão)]],TB_Vendas[[#This Row],[Desconto 
(Vendedor)]])</f>
        <v>0.1</v>
      </c>
      <c r="L33" s="2">
        <f>TB_Vendas[[#This Row],[Preço Unitário]]*TB_Vendas[[#This Row],[Qtd]]</f>
        <v>72.5</v>
      </c>
      <c r="M33" s="1" t="s">
        <v>115</v>
      </c>
    </row>
    <row r="34" spans="1:13">
      <c r="A34" s="4">
        <f>MONTH(TB_Vendas[[#This Row],[Data]])</f>
        <v>4</v>
      </c>
      <c r="B34" s="3">
        <v>45020</v>
      </c>
      <c r="C34" s="4" t="s">
        <v>54</v>
      </c>
      <c r="D34" s="4" t="str">
        <f>_xlfn.XLOOKUP(TB_Vendas[[#This Row],[Código]],TB_Produtos[Código],TB_Produtos[Categoria])</f>
        <v>Vestuário</v>
      </c>
      <c r="E34" s="1">
        <v>4</v>
      </c>
      <c r="F34" s="7">
        <f>VLOOKUP(TB_Vendas[[#This Row],[Código]],Produtos!$B$6:$G$66,6,0)</f>
        <v>259.89999999999998</v>
      </c>
      <c r="G34" s="1">
        <f>_xlfn.XMATCH(TB_Vendas[[#This Row],[Categoria]],Desc_Categorias,0)</f>
        <v>3</v>
      </c>
      <c r="H34" s="31">
        <f>VLOOKUP(TB_Vendas[[#This Row],[Qtd]],Desc_TabelaToda,TB_Vendas[[#This Row],[Indice]],TRUE)</f>
        <v>0.2</v>
      </c>
      <c r="I34" s="31" cm="1">
        <f t="array" ref="I34">INDEX(Desc_TabelaToda,MATCH(TB_Vendas[[#This Row],[Qtd]],Desc_Quantidades,1),MATCH(_xlfn.XLOOKUP(TB_Vendas[[#This Row],[Código]],TB_Produtos[[#All],[Código]],TB_Produtos[[#All],[Categoria]]),Desc_Categorias,0))</f>
        <v>0.2</v>
      </c>
      <c r="J34" s="31">
        <f>_xlfn.XLOOKUP(TB_Vendas[[#This Row],[Vendedor]],Vendedores!$B$5:$B$9,Vendedores!$E$5:$E$9)</f>
        <v>0.2</v>
      </c>
      <c r="K34" s="31">
        <f>IF(TB_Vendas[[#This Row],[Desconto 
(Diretão)]]&lt;=TB_Vendas[[#This Row],[Desconto 
(Vendedor)]],TB_Vendas[[#This Row],[Desconto 
(Diretão)]],TB_Vendas[[#This Row],[Desconto 
(Vendedor)]])</f>
        <v>0.2</v>
      </c>
      <c r="L34" s="2">
        <f>TB_Vendas[[#This Row],[Preço Unitário]]*TB_Vendas[[#This Row],[Qtd]]</f>
        <v>1039.5999999999999</v>
      </c>
      <c r="M34" s="1" t="s">
        <v>113</v>
      </c>
    </row>
    <row r="35" spans="1:13">
      <c r="A35" s="4">
        <f>MONTH(TB_Vendas[[#This Row],[Data]])</f>
        <v>4</v>
      </c>
      <c r="B35" s="3">
        <v>45024</v>
      </c>
      <c r="C35" s="4" t="s">
        <v>46</v>
      </c>
      <c r="D35" s="4" t="str">
        <f>_xlfn.XLOOKUP(TB_Vendas[[#This Row],[Código]],TB_Produtos[Código],TB_Produtos[Categoria])</f>
        <v>Vestuário</v>
      </c>
      <c r="E35" s="1">
        <v>3</v>
      </c>
      <c r="F35" s="7">
        <f>VLOOKUP(TB_Vendas[[#This Row],[Código]],Produtos!$B$6:$G$66,6,0)</f>
        <v>25.9</v>
      </c>
      <c r="G35" s="1">
        <f>_xlfn.XMATCH(TB_Vendas[[#This Row],[Categoria]],Desc_Categorias,0)</f>
        <v>3</v>
      </c>
      <c r="H35" s="31">
        <f>VLOOKUP(TB_Vendas[[#This Row],[Qtd]],Desc_TabelaToda,TB_Vendas[[#This Row],[Indice]],TRUE)</f>
        <v>0.2</v>
      </c>
      <c r="I35" s="31" cm="1">
        <f t="array" ref="I35">INDEX(Desc_TabelaToda,MATCH(TB_Vendas[[#This Row],[Qtd]],Desc_Quantidades,1),MATCH(_xlfn.XLOOKUP(TB_Vendas[[#This Row],[Código]],TB_Produtos[[#All],[Código]],TB_Produtos[[#All],[Categoria]]),Desc_Categorias,0))</f>
        <v>0.2</v>
      </c>
      <c r="J35" s="31">
        <f>_xlfn.XLOOKUP(TB_Vendas[[#This Row],[Vendedor]],Vendedores!$B$5:$B$9,Vendedores!$E$5:$E$9)</f>
        <v>0.15</v>
      </c>
      <c r="K35" s="31">
        <f>IF(TB_Vendas[[#This Row],[Desconto 
(Diretão)]]&lt;=TB_Vendas[[#This Row],[Desconto 
(Vendedor)]],TB_Vendas[[#This Row],[Desconto 
(Diretão)]],TB_Vendas[[#This Row],[Desconto 
(Vendedor)]])</f>
        <v>0.15</v>
      </c>
      <c r="L35" s="2">
        <f>TB_Vendas[[#This Row],[Preço Unitário]]*TB_Vendas[[#This Row],[Qtd]]</f>
        <v>77.699999999999989</v>
      </c>
      <c r="M35" s="1" t="s">
        <v>114</v>
      </c>
    </row>
    <row r="36" spans="1:13">
      <c r="A36" s="4">
        <f>MONTH(TB_Vendas[[#This Row],[Data]])</f>
        <v>4</v>
      </c>
      <c r="B36" s="3">
        <v>45027</v>
      </c>
      <c r="C36" s="4" t="s">
        <v>34</v>
      </c>
      <c r="D36" s="4" t="str">
        <f>_xlfn.XLOOKUP(TB_Vendas[[#This Row],[Código]],TB_Produtos[Código],TB_Produtos[Categoria])</f>
        <v>Acessórios</v>
      </c>
      <c r="E36" s="1">
        <v>2</v>
      </c>
      <c r="F36" s="7">
        <f>VLOOKUP(TB_Vendas[[#This Row],[Código]],Produtos!$B$6:$G$66,6,0)</f>
        <v>145</v>
      </c>
      <c r="G36" s="1">
        <f>_xlfn.XMATCH(TB_Vendas[[#This Row],[Categoria]],Desc_Categorias,0)</f>
        <v>2</v>
      </c>
      <c r="H36" s="31">
        <f>VLOOKUP(TB_Vendas[[#This Row],[Qtd]],Desc_TabelaToda,TB_Vendas[[#This Row],[Indice]],TRUE)</f>
        <v>0.05</v>
      </c>
      <c r="I36" s="31" cm="1">
        <f t="array" ref="I36">INDEX(Desc_TabelaToda,MATCH(TB_Vendas[[#This Row],[Qtd]],Desc_Quantidades,1),MATCH(_xlfn.XLOOKUP(TB_Vendas[[#This Row],[Código]],TB_Produtos[[#All],[Código]],TB_Produtos[[#All],[Categoria]]),Desc_Categorias,0))</f>
        <v>0.05</v>
      </c>
      <c r="J36" s="31">
        <f>_xlfn.XLOOKUP(TB_Vendas[[#This Row],[Vendedor]],Vendedores!$B$5:$B$9,Vendedores!$E$5:$E$9)</f>
        <v>0.2</v>
      </c>
      <c r="K36" s="31">
        <f>IF(TB_Vendas[[#This Row],[Desconto 
(Diretão)]]&lt;=TB_Vendas[[#This Row],[Desconto 
(Vendedor)]],TB_Vendas[[#This Row],[Desconto 
(Diretão)]],TB_Vendas[[#This Row],[Desconto 
(Vendedor)]])</f>
        <v>0.05</v>
      </c>
      <c r="L36" s="2">
        <f>TB_Vendas[[#This Row],[Preço Unitário]]*TB_Vendas[[#This Row],[Qtd]]</f>
        <v>290</v>
      </c>
      <c r="M36" s="1" t="s">
        <v>113</v>
      </c>
    </row>
    <row r="37" spans="1:13">
      <c r="A37" s="4">
        <f>MONTH(TB_Vendas[[#This Row],[Data]])</f>
        <v>4</v>
      </c>
      <c r="B37" s="3">
        <v>45028</v>
      </c>
      <c r="C37" s="4" t="s">
        <v>36</v>
      </c>
      <c r="D37" s="4" t="str">
        <f>_xlfn.XLOOKUP(TB_Vendas[[#This Row],[Código]],TB_Produtos[Código],TB_Produtos[Categoria])</f>
        <v>Acessórios</v>
      </c>
      <c r="E37" s="1">
        <v>1</v>
      </c>
      <c r="F37" s="7">
        <f>VLOOKUP(TB_Vendas[[#This Row],[Código]],Produtos!$B$6:$G$66,6,0)</f>
        <v>39.9</v>
      </c>
      <c r="G37" s="1">
        <f>_xlfn.XMATCH(TB_Vendas[[#This Row],[Categoria]],Desc_Categorias,0)</f>
        <v>2</v>
      </c>
      <c r="H37" s="31">
        <f>VLOOKUP(TB_Vendas[[#This Row],[Qtd]],Desc_TabelaToda,TB_Vendas[[#This Row],[Indice]],TRUE)</f>
        <v>0</v>
      </c>
      <c r="I37" s="31" cm="1">
        <f t="array" ref="I37">INDEX(Desc_TabelaToda,MATCH(TB_Vendas[[#This Row],[Qtd]],Desc_Quantidades,1),MATCH(_xlfn.XLOOKUP(TB_Vendas[[#This Row],[Código]],TB_Produtos[[#All],[Código]],TB_Produtos[[#All],[Categoria]]),Desc_Categorias,0))</f>
        <v>0</v>
      </c>
      <c r="J37" s="31">
        <f>_xlfn.XLOOKUP(TB_Vendas[[#This Row],[Vendedor]],Vendedores!$B$5:$B$9,Vendedores!$E$5:$E$9)</f>
        <v>0.15</v>
      </c>
      <c r="K37" s="31">
        <f>IF(TB_Vendas[[#This Row],[Desconto 
(Diretão)]]&lt;=TB_Vendas[[#This Row],[Desconto 
(Vendedor)]],TB_Vendas[[#This Row],[Desconto 
(Diretão)]],TB_Vendas[[#This Row],[Desconto 
(Vendedor)]])</f>
        <v>0</v>
      </c>
      <c r="L37" s="2">
        <f>TB_Vendas[[#This Row],[Preço Unitário]]*TB_Vendas[[#This Row],[Qtd]]</f>
        <v>39.9</v>
      </c>
      <c r="M37" s="1" t="s">
        <v>114</v>
      </c>
    </row>
    <row r="38" spans="1:13">
      <c r="A38" s="4">
        <f>MONTH(TB_Vendas[[#This Row],[Data]])</f>
        <v>4</v>
      </c>
      <c r="B38" s="3">
        <v>45029</v>
      </c>
      <c r="C38" s="4" t="s">
        <v>56</v>
      </c>
      <c r="D38" s="4" t="str">
        <f>_xlfn.XLOOKUP(TB_Vendas[[#This Row],[Código]],TB_Produtos[Código],TB_Produtos[Categoria])</f>
        <v>Acessórios</v>
      </c>
      <c r="E38" s="1">
        <v>3</v>
      </c>
      <c r="F38" s="7">
        <f>VLOOKUP(TB_Vendas[[#This Row],[Código]],Produtos!$B$6:$G$66,6,0)</f>
        <v>349.9</v>
      </c>
      <c r="G38" s="1">
        <f>_xlfn.XMATCH(TB_Vendas[[#This Row],[Categoria]],Desc_Categorias,0)</f>
        <v>2</v>
      </c>
      <c r="H38" s="31">
        <f>VLOOKUP(TB_Vendas[[#This Row],[Qtd]],Desc_TabelaToda,TB_Vendas[[#This Row],[Indice]],TRUE)</f>
        <v>0.15</v>
      </c>
      <c r="I38" s="31" cm="1">
        <f t="array" ref="I38">INDEX(Desc_TabelaToda,MATCH(TB_Vendas[[#This Row],[Qtd]],Desc_Quantidades,1),MATCH(_xlfn.XLOOKUP(TB_Vendas[[#This Row],[Código]],TB_Produtos[[#All],[Código]],TB_Produtos[[#All],[Categoria]]),Desc_Categorias,0))</f>
        <v>0.15</v>
      </c>
      <c r="J38" s="31">
        <f>_xlfn.XLOOKUP(TB_Vendas[[#This Row],[Vendedor]],Vendedores!$B$5:$B$9,Vendedores!$E$5:$E$9)</f>
        <v>0.2</v>
      </c>
      <c r="K38" s="31">
        <f>IF(TB_Vendas[[#This Row],[Desconto 
(Diretão)]]&lt;=TB_Vendas[[#This Row],[Desconto 
(Vendedor)]],TB_Vendas[[#This Row],[Desconto 
(Diretão)]],TB_Vendas[[#This Row],[Desconto 
(Vendedor)]])</f>
        <v>0.15</v>
      </c>
      <c r="L38" s="2">
        <f>TB_Vendas[[#This Row],[Preço Unitário]]*TB_Vendas[[#This Row],[Qtd]]</f>
        <v>1049.6999999999998</v>
      </c>
      <c r="M38" s="1" t="s">
        <v>116</v>
      </c>
    </row>
    <row r="39" spans="1:13">
      <c r="A39" s="4">
        <f>MONTH(TB_Vendas[[#This Row],[Data]])</f>
        <v>4</v>
      </c>
      <c r="B39" s="3">
        <v>45031</v>
      </c>
      <c r="C39" s="4" t="s">
        <v>105</v>
      </c>
      <c r="D39" s="4" t="str">
        <f>_xlfn.XLOOKUP(TB_Vendas[[#This Row],[Código]],TB_Produtos[Código],TB_Produtos[Categoria])</f>
        <v>Calçado</v>
      </c>
      <c r="E39" s="1">
        <v>4</v>
      </c>
      <c r="F39" s="7">
        <f>VLOOKUP(TB_Vendas[[#This Row],[Código]],Produtos!$B$6:$G$66,6,0)</f>
        <v>89.9</v>
      </c>
      <c r="G39" s="1">
        <f>_xlfn.XMATCH(TB_Vendas[[#This Row],[Categoria]],Desc_Categorias,0)</f>
        <v>4</v>
      </c>
      <c r="H39" s="31">
        <f>VLOOKUP(TB_Vendas[[#This Row],[Qtd]],Desc_TabelaToda,TB_Vendas[[#This Row],[Indice]],TRUE)</f>
        <v>0.15</v>
      </c>
      <c r="I39" s="31" cm="1">
        <f t="array" ref="I39">INDEX(Desc_TabelaToda,MATCH(TB_Vendas[[#This Row],[Qtd]],Desc_Quantidades,1),MATCH(_xlfn.XLOOKUP(TB_Vendas[[#This Row],[Código]],TB_Produtos[[#All],[Código]],TB_Produtos[[#All],[Categoria]]),Desc_Categorias,0))</f>
        <v>0.15</v>
      </c>
      <c r="J39" s="31">
        <f>_xlfn.XLOOKUP(TB_Vendas[[#This Row],[Vendedor]],Vendedores!$B$5:$B$9,Vendedores!$E$5:$E$9)</f>
        <v>0.2</v>
      </c>
      <c r="K39" s="31">
        <f>IF(TB_Vendas[[#This Row],[Desconto 
(Diretão)]]&lt;=TB_Vendas[[#This Row],[Desconto 
(Vendedor)]],TB_Vendas[[#This Row],[Desconto 
(Diretão)]],TB_Vendas[[#This Row],[Desconto 
(Vendedor)]])</f>
        <v>0.15</v>
      </c>
      <c r="L39" s="2">
        <f>TB_Vendas[[#This Row],[Preço Unitário]]*TB_Vendas[[#This Row],[Qtd]]</f>
        <v>359.6</v>
      </c>
      <c r="M39" s="1" t="s">
        <v>113</v>
      </c>
    </row>
    <row r="40" spans="1:13">
      <c r="A40" s="4">
        <f>MONTH(TB_Vendas[[#This Row],[Data]])</f>
        <v>4</v>
      </c>
      <c r="B40" s="3">
        <v>45038</v>
      </c>
      <c r="C40" s="4" t="s">
        <v>102</v>
      </c>
      <c r="D40" s="4" t="str">
        <f>_xlfn.XLOOKUP(TB_Vendas[[#This Row],[Código]],TB_Produtos[Código],TB_Produtos[Categoria])</f>
        <v>Calçado</v>
      </c>
      <c r="E40" s="1">
        <v>2</v>
      </c>
      <c r="F40" s="7">
        <f>VLOOKUP(TB_Vendas[[#This Row],[Código]],Produtos!$B$6:$G$66,6,0)</f>
        <v>89.9</v>
      </c>
      <c r="G40" s="1">
        <f>_xlfn.XMATCH(TB_Vendas[[#This Row],[Categoria]],Desc_Categorias,0)</f>
        <v>4</v>
      </c>
      <c r="H40" s="31">
        <f>VLOOKUP(TB_Vendas[[#This Row],[Qtd]],Desc_TabelaToda,TB_Vendas[[#This Row],[Indice]],TRUE)</f>
        <v>0.1</v>
      </c>
      <c r="I40" s="31" cm="1">
        <f t="array" ref="I40">INDEX(Desc_TabelaToda,MATCH(TB_Vendas[[#This Row],[Qtd]],Desc_Quantidades,1),MATCH(_xlfn.XLOOKUP(TB_Vendas[[#This Row],[Código]],TB_Produtos[[#All],[Código]],TB_Produtos[[#All],[Categoria]]),Desc_Categorias,0))</f>
        <v>0.1</v>
      </c>
      <c r="J40" s="31">
        <f>_xlfn.XLOOKUP(TB_Vendas[[#This Row],[Vendedor]],Vendedores!$B$5:$B$9,Vendedores!$E$5:$E$9)</f>
        <v>0.2</v>
      </c>
      <c r="K40" s="31">
        <f>IF(TB_Vendas[[#This Row],[Desconto 
(Diretão)]]&lt;=TB_Vendas[[#This Row],[Desconto 
(Vendedor)]],TB_Vendas[[#This Row],[Desconto 
(Diretão)]],TB_Vendas[[#This Row],[Desconto 
(Vendedor)]])</f>
        <v>0.1</v>
      </c>
      <c r="L40" s="2">
        <f>TB_Vendas[[#This Row],[Preço Unitário]]*TB_Vendas[[#This Row],[Qtd]]</f>
        <v>179.8</v>
      </c>
      <c r="M40" s="1" t="s">
        <v>116</v>
      </c>
    </row>
    <row r="41" spans="1:13">
      <c r="A41" s="4">
        <f>MONTH(TB_Vendas[[#This Row],[Data]])</f>
        <v>4</v>
      </c>
      <c r="B41" s="3">
        <v>45039</v>
      </c>
      <c r="C41" s="4" t="s">
        <v>32</v>
      </c>
      <c r="D41" s="4" t="str">
        <f>_xlfn.XLOOKUP(TB_Vendas[[#This Row],[Código]],TB_Produtos[Código],TB_Produtos[Categoria])</f>
        <v>Vestuário</v>
      </c>
      <c r="E41" s="1">
        <v>3</v>
      </c>
      <c r="F41" s="7">
        <f>VLOOKUP(TB_Vendas[[#This Row],[Código]],Produtos!$B$6:$G$66,6,0)</f>
        <v>69.900000000000006</v>
      </c>
      <c r="G41" s="1">
        <f>_xlfn.XMATCH(TB_Vendas[[#This Row],[Categoria]],Desc_Categorias,0)</f>
        <v>3</v>
      </c>
      <c r="H41" s="31">
        <f>VLOOKUP(TB_Vendas[[#This Row],[Qtd]],Desc_TabelaToda,TB_Vendas[[#This Row],[Indice]],TRUE)</f>
        <v>0.2</v>
      </c>
      <c r="I41" s="31" cm="1">
        <f t="array" ref="I41">INDEX(Desc_TabelaToda,MATCH(TB_Vendas[[#This Row],[Qtd]],Desc_Quantidades,1),MATCH(_xlfn.XLOOKUP(TB_Vendas[[#This Row],[Código]],TB_Produtos[[#All],[Código]],TB_Produtos[[#All],[Categoria]]),Desc_Categorias,0))</f>
        <v>0.2</v>
      </c>
      <c r="J41" s="31">
        <f>_xlfn.XLOOKUP(TB_Vendas[[#This Row],[Vendedor]],Vendedores!$B$5:$B$9,Vendedores!$E$5:$E$9)</f>
        <v>0.2</v>
      </c>
      <c r="K41" s="31">
        <f>IF(TB_Vendas[[#This Row],[Desconto 
(Diretão)]]&lt;=TB_Vendas[[#This Row],[Desconto 
(Vendedor)]],TB_Vendas[[#This Row],[Desconto 
(Diretão)]],TB_Vendas[[#This Row],[Desconto 
(Vendedor)]])</f>
        <v>0.2</v>
      </c>
      <c r="L41" s="2">
        <f>TB_Vendas[[#This Row],[Preço Unitário]]*TB_Vendas[[#This Row],[Qtd]]</f>
        <v>209.70000000000002</v>
      </c>
      <c r="M41" s="1" t="s">
        <v>113</v>
      </c>
    </row>
    <row r="42" spans="1:13">
      <c r="A42" s="4">
        <f>MONTH(TB_Vendas[[#This Row],[Data]])</f>
        <v>4</v>
      </c>
      <c r="B42" s="3">
        <v>45042</v>
      </c>
      <c r="C42" s="4" t="s">
        <v>34</v>
      </c>
      <c r="D42" s="4" t="str">
        <f>_xlfn.XLOOKUP(TB_Vendas[[#This Row],[Código]],TB_Produtos[Código],TB_Produtos[Categoria])</f>
        <v>Acessórios</v>
      </c>
      <c r="E42" s="1">
        <v>1</v>
      </c>
      <c r="F42" s="7">
        <f>VLOOKUP(TB_Vendas[[#This Row],[Código]],Produtos!$B$6:$G$66,6,0)</f>
        <v>145</v>
      </c>
      <c r="G42" s="1">
        <f>_xlfn.XMATCH(TB_Vendas[[#This Row],[Categoria]],Desc_Categorias,0)</f>
        <v>2</v>
      </c>
      <c r="H42" s="31">
        <f>VLOOKUP(TB_Vendas[[#This Row],[Qtd]],Desc_TabelaToda,TB_Vendas[[#This Row],[Indice]],TRUE)</f>
        <v>0</v>
      </c>
      <c r="I42" s="31" cm="1">
        <f t="array" ref="I42">INDEX(Desc_TabelaToda,MATCH(TB_Vendas[[#This Row],[Qtd]],Desc_Quantidades,1),MATCH(_xlfn.XLOOKUP(TB_Vendas[[#This Row],[Código]],TB_Produtos[[#All],[Código]],TB_Produtos[[#All],[Categoria]]),Desc_Categorias,0))</f>
        <v>0</v>
      </c>
      <c r="J42" s="31">
        <f>_xlfn.XLOOKUP(TB_Vendas[[#This Row],[Vendedor]],Vendedores!$B$5:$B$9,Vendedores!$E$5:$E$9)</f>
        <v>0.15</v>
      </c>
      <c r="K42" s="31">
        <f>IF(TB_Vendas[[#This Row],[Desconto 
(Diretão)]]&lt;=TB_Vendas[[#This Row],[Desconto 
(Vendedor)]],TB_Vendas[[#This Row],[Desconto 
(Diretão)]],TB_Vendas[[#This Row],[Desconto 
(Vendedor)]])</f>
        <v>0</v>
      </c>
      <c r="L42" s="2">
        <f>TB_Vendas[[#This Row],[Preço Unitário]]*TB_Vendas[[#This Row],[Qtd]]</f>
        <v>145</v>
      </c>
      <c r="M42" s="1" t="s">
        <v>117</v>
      </c>
    </row>
    <row r="43" spans="1:13">
      <c r="A43" s="4">
        <f>MONTH(TB_Vendas[[#This Row],[Data]])</f>
        <v>4</v>
      </c>
      <c r="B43" s="3">
        <v>45043</v>
      </c>
      <c r="C43" s="4" t="s">
        <v>41</v>
      </c>
      <c r="D43" s="4" t="str">
        <f>_xlfn.XLOOKUP(TB_Vendas[[#This Row],[Código]],TB_Produtos[Código],TB_Produtos[Categoria])</f>
        <v>Vestuário</v>
      </c>
      <c r="E43" s="1">
        <v>4</v>
      </c>
      <c r="F43" s="7">
        <f>VLOOKUP(TB_Vendas[[#This Row],[Código]],Produtos!$B$6:$G$66,6,0)</f>
        <v>46.9</v>
      </c>
      <c r="G43" s="1">
        <f>_xlfn.XMATCH(TB_Vendas[[#This Row],[Categoria]],Desc_Categorias,0)</f>
        <v>3</v>
      </c>
      <c r="H43" s="31">
        <f>VLOOKUP(TB_Vendas[[#This Row],[Qtd]],Desc_TabelaToda,TB_Vendas[[#This Row],[Indice]],TRUE)</f>
        <v>0.2</v>
      </c>
      <c r="I43" s="31" cm="1">
        <f t="array" ref="I43">INDEX(Desc_TabelaToda,MATCH(TB_Vendas[[#This Row],[Qtd]],Desc_Quantidades,1),MATCH(_xlfn.XLOOKUP(TB_Vendas[[#This Row],[Código]],TB_Produtos[[#All],[Código]],TB_Produtos[[#All],[Categoria]]),Desc_Categorias,0))</f>
        <v>0.2</v>
      </c>
      <c r="J43" s="31">
        <f>_xlfn.XLOOKUP(TB_Vendas[[#This Row],[Vendedor]],Vendedores!$B$5:$B$9,Vendedores!$E$5:$E$9)</f>
        <v>0.2</v>
      </c>
      <c r="K43" s="31">
        <f>IF(TB_Vendas[[#This Row],[Desconto 
(Diretão)]]&lt;=TB_Vendas[[#This Row],[Desconto 
(Vendedor)]],TB_Vendas[[#This Row],[Desconto 
(Diretão)]],TB_Vendas[[#This Row],[Desconto 
(Vendedor)]])</f>
        <v>0.2</v>
      </c>
      <c r="L43" s="2">
        <f>TB_Vendas[[#This Row],[Preço Unitário]]*TB_Vendas[[#This Row],[Qtd]]</f>
        <v>187.6</v>
      </c>
      <c r="M43" s="1" t="s">
        <v>113</v>
      </c>
    </row>
    <row r="44" spans="1:13">
      <c r="A44" s="4">
        <f>MONTH(TB_Vendas[[#This Row],[Data]])</f>
        <v>5</v>
      </c>
      <c r="B44" s="3">
        <v>45054</v>
      </c>
      <c r="C44" s="4" t="s">
        <v>86</v>
      </c>
      <c r="D44" s="4" t="str">
        <f>_xlfn.XLOOKUP(TB_Vendas[[#This Row],[Código]],TB_Produtos[Código],TB_Produtos[Categoria])</f>
        <v>Vestuário</v>
      </c>
      <c r="E44" s="1">
        <v>2</v>
      </c>
      <c r="F44" s="7">
        <f>VLOOKUP(TB_Vendas[[#This Row],[Código]],Produtos!$B$6:$G$66,6,0)</f>
        <v>72.5</v>
      </c>
      <c r="G44" s="1">
        <f>_xlfn.XMATCH(TB_Vendas[[#This Row],[Categoria]],Desc_Categorias,0)</f>
        <v>3</v>
      </c>
      <c r="H44" s="31">
        <f>VLOOKUP(TB_Vendas[[#This Row],[Qtd]],Desc_TabelaToda,TB_Vendas[[#This Row],[Indice]],TRUE)</f>
        <v>0.15</v>
      </c>
      <c r="I44" s="31" cm="1">
        <f t="array" ref="I44">INDEX(Desc_TabelaToda,MATCH(TB_Vendas[[#This Row],[Qtd]],Desc_Quantidades,1),MATCH(_xlfn.XLOOKUP(TB_Vendas[[#This Row],[Código]],TB_Produtos[[#All],[Código]],TB_Produtos[[#All],[Categoria]]),Desc_Categorias,0))</f>
        <v>0.15</v>
      </c>
      <c r="J44" s="31">
        <f>_xlfn.XLOOKUP(TB_Vendas[[#This Row],[Vendedor]],Vendedores!$B$5:$B$9,Vendedores!$E$5:$E$9)</f>
        <v>0.15</v>
      </c>
      <c r="K44" s="31">
        <f>IF(TB_Vendas[[#This Row],[Desconto 
(Diretão)]]&lt;=TB_Vendas[[#This Row],[Desconto 
(Vendedor)]],TB_Vendas[[#This Row],[Desconto 
(Diretão)]],TB_Vendas[[#This Row],[Desconto 
(Vendedor)]])</f>
        <v>0.15</v>
      </c>
      <c r="L44" s="2">
        <f>TB_Vendas[[#This Row],[Preço Unitário]]*TB_Vendas[[#This Row],[Qtd]]</f>
        <v>145</v>
      </c>
      <c r="M44" s="1" t="s">
        <v>117</v>
      </c>
    </row>
    <row r="45" spans="1:13">
      <c r="A45" s="4">
        <f>MONTH(TB_Vendas[[#This Row],[Data]])</f>
        <v>5</v>
      </c>
      <c r="B45" s="3">
        <v>45055</v>
      </c>
      <c r="C45" s="4" t="s">
        <v>67</v>
      </c>
      <c r="D45" s="4" t="str">
        <f>_xlfn.XLOOKUP(TB_Vendas[[#This Row],[Código]],TB_Produtos[Código],TB_Produtos[Categoria])</f>
        <v>Vestuário</v>
      </c>
      <c r="E45" s="1">
        <v>3</v>
      </c>
      <c r="F45" s="7">
        <f>VLOOKUP(TB_Vendas[[#This Row],[Código]],Produtos!$B$6:$G$66,6,0)</f>
        <v>140</v>
      </c>
      <c r="G45" s="1">
        <f>_xlfn.XMATCH(TB_Vendas[[#This Row],[Categoria]],Desc_Categorias,0)</f>
        <v>3</v>
      </c>
      <c r="H45" s="31">
        <f>VLOOKUP(TB_Vendas[[#This Row],[Qtd]],Desc_TabelaToda,TB_Vendas[[#This Row],[Indice]],TRUE)</f>
        <v>0.2</v>
      </c>
      <c r="I45" s="31" cm="1">
        <f t="array" ref="I45">INDEX(Desc_TabelaToda,MATCH(TB_Vendas[[#This Row],[Qtd]],Desc_Quantidades,1),MATCH(_xlfn.XLOOKUP(TB_Vendas[[#This Row],[Código]],TB_Produtos[[#All],[Código]],TB_Produtos[[#All],[Categoria]]),Desc_Categorias,0))</f>
        <v>0.2</v>
      </c>
      <c r="J45" s="31">
        <f>_xlfn.XLOOKUP(TB_Vendas[[#This Row],[Vendedor]],Vendedores!$B$5:$B$9,Vendedores!$E$5:$E$9)</f>
        <v>0.2</v>
      </c>
      <c r="K45" s="31">
        <f>IF(TB_Vendas[[#This Row],[Desconto 
(Diretão)]]&lt;=TB_Vendas[[#This Row],[Desconto 
(Vendedor)]],TB_Vendas[[#This Row],[Desconto 
(Diretão)]],TB_Vendas[[#This Row],[Desconto 
(Vendedor)]])</f>
        <v>0.2</v>
      </c>
      <c r="L45" s="2">
        <f>TB_Vendas[[#This Row],[Preço Unitário]]*TB_Vendas[[#This Row],[Qtd]]</f>
        <v>420</v>
      </c>
      <c r="M45" s="1" t="s">
        <v>116</v>
      </c>
    </row>
    <row r="46" spans="1:13">
      <c r="A46" s="4">
        <f>MONTH(TB_Vendas[[#This Row],[Data]])</f>
        <v>5</v>
      </c>
      <c r="B46" s="3">
        <v>45056</v>
      </c>
      <c r="C46" s="4" t="s">
        <v>65</v>
      </c>
      <c r="D46" s="4" t="str">
        <f>_xlfn.XLOOKUP(TB_Vendas[[#This Row],[Código]],TB_Produtos[Código],TB_Produtos[Categoria])</f>
        <v>Vestuário</v>
      </c>
      <c r="E46" s="1">
        <v>1</v>
      </c>
      <c r="F46" s="7">
        <f>VLOOKUP(TB_Vendas[[#This Row],[Código]],Produtos!$B$6:$G$66,6,0)</f>
        <v>91.4</v>
      </c>
      <c r="G46" s="1">
        <f>_xlfn.XMATCH(TB_Vendas[[#This Row],[Categoria]],Desc_Categorias,0)</f>
        <v>3</v>
      </c>
      <c r="H46" s="31">
        <f>VLOOKUP(TB_Vendas[[#This Row],[Qtd]],Desc_TabelaToda,TB_Vendas[[#This Row],[Indice]],TRUE)</f>
        <v>0.1</v>
      </c>
      <c r="I46" s="31" cm="1">
        <f t="array" ref="I46">INDEX(Desc_TabelaToda,MATCH(TB_Vendas[[#This Row],[Qtd]],Desc_Quantidades,1),MATCH(_xlfn.XLOOKUP(TB_Vendas[[#This Row],[Código]],TB_Produtos[[#All],[Código]],TB_Produtos[[#All],[Categoria]]),Desc_Categorias,0))</f>
        <v>0.1</v>
      </c>
      <c r="J46" s="31">
        <f>_xlfn.XLOOKUP(TB_Vendas[[#This Row],[Vendedor]],Vendedores!$B$5:$B$9,Vendedores!$E$5:$E$9)</f>
        <v>0.15</v>
      </c>
      <c r="K46" s="31">
        <f>IF(TB_Vendas[[#This Row],[Desconto 
(Diretão)]]&lt;=TB_Vendas[[#This Row],[Desconto 
(Vendedor)]],TB_Vendas[[#This Row],[Desconto 
(Diretão)]],TB_Vendas[[#This Row],[Desconto 
(Vendedor)]])</f>
        <v>0.1</v>
      </c>
      <c r="L46" s="2">
        <f>TB_Vendas[[#This Row],[Preço Unitário]]*TB_Vendas[[#This Row],[Qtd]]</f>
        <v>91.4</v>
      </c>
      <c r="M46" s="1" t="s">
        <v>114</v>
      </c>
    </row>
    <row r="47" spans="1:13">
      <c r="A47" s="4">
        <f>MONTH(TB_Vendas[[#This Row],[Data]])</f>
        <v>5</v>
      </c>
      <c r="B47" s="3">
        <v>45057</v>
      </c>
      <c r="C47" s="4" t="s">
        <v>56</v>
      </c>
      <c r="D47" s="4" t="str">
        <f>_xlfn.XLOOKUP(TB_Vendas[[#This Row],[Código]],TB_Produtos[Código],TB_Produtos[Categoria])</f>
        <v>Acessórios</v>
      </c>
      <c r="E47" s="1">
        <v>2</v>
      </c>
      <c r="F47" s="7">
        <f>VLOOKUP(TB_Vendas[[#This Row],[Código]],Produtos!$B$6:$G$66,6,0)</f>
        <v>349.9</v>
      </c>
      <c r="G47" s="1">
        <f>_xlfn.XMATCH(TB_Vendas[[#This Row],[Categoria]],Desc_Categorias,0)</f>
        <v>2</v>
      </c>
      <c r="H47" s="31">
        <f>VLOOKUP(TB_Vendas[[#This Row],[Qtd]],Desc_TabelaToda,TB_Vendas[[#This Row],[Indice]],TRUE)</f>
        <v>0.05</v>
      </c>
      <c r="I47" s="31" cm="1">
        <f t="array" ref="I47">INDEX(Desc_TabelaToda,MATCH(TB_Vendas[[#This Row],[Qtd]],Desc_Quantidades,1),MATCH(_xlfn.XLOOKUP(TB_Vendas[[#This Row],[Código]],TB_Produtos[[#All],[Código]],TB_Produtos[[#All],[Categoria]]),Desc_Categorias,0))</f>
        <v>0.05</v>
      </c>
      <c r="J47" s="31">
        <f>_xlfn.XLOOKUP(TB_Vendas[[#This Row],[Vendedor]],Vendedores!$B$5:$B$9,Vendedores!$E$5:$E$9)</f>
        <v>0.2</v>
      </c>
      <c r="K47" s="31">
        <f>IF(TB_Vendas[[#This Row],[Desconto 
(Diretão)]]&lt;=TB_Vendas[[#This Row],[Desconto 
(Vendedor)]],TB_Vendas[[#This Row],[Desconto 
(Diretão)]],TB_Vendas[[#This Row],[Desconto 
(Vendedor)]])</f>
        <v>0.05</v>
      </c>
      <c r="L47" s="2">
        <f>TB_Vendas[[#This Row],[Preço Unitário]]*TB_Vendas[[#This Row],[Qtd]]</f>
        <v>699.8</v>
      </c>
      <c r="M47" s="1" t="s">
        <v>116</v>
      </c>
    </row>
    <row r="48" spans="1:13">
      <c r="A48" s="4">
        <f>MONTH(TB_Vendas[[#This Row],[Data]])</f>
        <v>5</v>
      </c>
      <c r="B48" s="3">
        <v>45058</v>
      </c>
      <c r="C48" s="4" t="s">
        <v>31</v>
      </c>
      <c r="D48" s="4" t="str">
        <f>_xlfn.XLOOKUP(TB_Vendas[[#This Row],[Código]],TB_Produtos[Código],TB_Produtos[Categoria])</f>
        <v>Vestuário</v>
      </c>
      <c r="E48" s="1">
        <v>3</v>
      </c>
      <c r="F48" s="7">
        <f>VLOOKUP(TB_Vendas[[#This Row],[Código]],Produtos!$B$6:$G$66,6,0)</f>
        <v>65.900000000000006</v>
      </c>
      <c r="G48" s="1">
        <f>_xlfn.XMATCH(TB_Vendas[[#This Row],[Categoria]],Desc_Categorias,0)</f>
        <v>3</v>
      </c>
      <c r="H48" s="31">
        <f>VLOOKUP(TB_Vendas[[#This Row],[Qtd]],Desc_TabelaToda,TB_Vendas[[#This Row],[Indice]],TRUE)</f>
        <v>0.2</v>
      </c>
      <c r="I48" s="31" cm="1">
        <f t="array" ref="I48">INDEX(Desc_TabelaToda,MATCH(TB_Vendas[[#This Row],[Qtd]],Desc_Quantidades,1),MATCH(_xlfn.XLOOKUP(TB_Vendas[[#This Row],[Código]],TB_Produtos[[#All],[Código]],TB_Produtos[[#All],[Categoria]]),Desc_Categorias,0))</f>
        <v>0.2</v>
      </c>
      <c r="J48" s="31">
        <f>_xlfn.XLOOKUP(TB_Vendas[[#This Row],[Vendedor]],Vendedores!$B$5:$B$9,Vendedores!$E$5:$E$9)</f>
        <v>0.15</v>
      </c>
      <c r="K48" s="31">
        <f>IF(TB_Vendas[[#This Row],[Desconto 
(Diretão)]]&lt;=TB_Vendas[[#This Row],[Desconto 
(Vendedor)]],TB_Vendas[[#This Row],[Desconto 
(Diretão)]],TB_Vendas[[#This Row],[Desconto 
(Vendedor)]])</f>
        <v>0.15</v>
      </c>
      <c r="L48" s="2">
        <f>TB_Vendas[[#This Row],[Preço Unitário]]*TB_Vendas[[#This Row],[Qtd]]</f>
        <v>197.70000000000002</v>
      </c>
      <c r="M48" s="1" t="s">
        <v>114</v>
      </c>
    </row>
    <row r="49" spans="1:13">
      <c r="A49" s="4">
        <f>MONTH(TB_Vendas[[#This Row],[Data]])</f>
        <v>5</v>
      </c>
      <c r="B49" s="3">
        <v>45061</v>
      </c>
      <c r="C49" s="4" t="s">
        <v>65</v>
      </c>
      <c r="D49" s="4" t="str">
        <f>_xlfn.XLOOKUP(TB_Vendas[[#This Row],[Código]],TB_Produtos[Código],TB_Produtos[Categoria])</f>
        <v>Vestuário</v>
      </c>
      <c r="E49" s="1">
        <v>2</v>
      </c>
      <c r="F49" s="7">
        <f>VLOOKUP(TB_Vendas[[#This Row],[Código]],Produtos!$B$6:$G$66,6,0)</f>
        <v>91.4</v>
      </c>
      <c r="G49" s="1">
        <f>_xlfn.XMATCH(TB_Vendas[[#This Row],[Categoria]],Desc_Categorias,0)</f>
        <v>3</v>
      </c>
      <c r="H49" s="31">
        <f>VLOOKUP(TB_Vendas[[#This Row],[Qtd]],Desc_TabelaToda,TB_Vendas[[#This Row],[Indice]],TRUE)</f>
        <v>0.15</v>
      </c>
      <c r="I49" s="31" cm="1">
        <f t="array" ref="I49">INDEX(Desc_TabelaToda,MATCH(TB_Vendas[[#This Row],[Qtd]],Desc_Quantidades,1),MATCH(_xlfn.XLOOKUP(TB_Vendas[[#This Row],[Código]],TB_Produtos[[#All],[Código]],TB_Produtos[[#All],[Categoria]]),Desc_Categorias,0))</f>
        <v>0.15</v>
      </c>
      <c r="J49" s="31">
        <f>_xlfn.XLOOKUP(TB_Vendas[[#This Row],[Vendedor]],Vendedores!$B$5:$B$9,Vendedores!$E$5:$E$9)</f>
        <v>0.2</v>
      </c>
      <c r="K49" s="31">
        <f>IF(TB_Vendas[[#This Row],[Desconto 
(Diretão)]]&lt;=TB_Vendas[[#This Row],[Desconto 
(Vendedor)]],TB_Vendas[[#This Row],[Desconto 
(Diretão)]],TB_Vendas[[#This Row],[Desconto 
(Vendedor)]])</f>
        <v>0.15</v>
      </c>
      <c r="L49" s="2">
        <f>TB_Vendas[[#This Row],[Preço Unitário]]*TB_Vendas[[#This Row],[Qtd]]</f>
        <v>182.8</v>
      </c>
      <c r="M49" s="1" t="s">
        <v>113</v>
      </c>
    </row>
    <row r="50" spans="1:13">
      <c r="A50" s="4">
        <f>MONTH(TB_Vendas[[#This Row],[Data]])</f>
        <v>5</v>
      </c>
      <c r="B50" s="3">
        <v>45064</v>
      </c>
      <c r="C50" s="4" t="s">
        <v>35</v>
      </c>
      <c r="D50" s="4" t="str">
        <f>_xlfn.XLOOKUP(TB_Vendas[[#This Row],[Código]],TB_Produtos[Código],TB_Produtos[Categoria])</f>
        <v>Acessórios</v>
      </c>
      <c r="E50" s="1">
        <v>4</v>
      </c>
      <c r="F50" s="7">
        <f>VLOOKUP(TB_Vendas[[#This Row],[Código]],Produtos!$B$6:$G$66,6,0)</f>
        <v>259.89999999999998</v>
      </c>
      <c r="G50" s="1">
        <f>_xlfn.XMATCH(TB_Vendas[[#This Row],[Categoria]],Desc_Categorias,0)</f>
        <v>2</v>
      </c>
      <c r="H50" s="31">
        <f>VLOOKUP(TB_Vendas[[#This Row],[Qtd]],Desc_TabelaToda,TB_Vendas[[#This Row],[Indice]],TRUE)</f>
        <v>0.15</v>
      </c>
      <c r="I50" s="31" cm="1">
        <f t="array" ref="I50">INDEX(Desc_TabelaToda,MATCH(TB_Vendas[[#This Row],[Qtd]],Desc_Quantidades,1),MATCH(_xlfn.XLOOKUP(TB_Vendas[[#This Row],[Código]],TB_Produtos[[#All],[Código]],TB_Produtos[[#All],[Categoria]]),Desc_Categorias,0))</f>
        <v>0.15</v>
      </c>
      <c r="J50" s="31">
        <f>_xlfn.XLOOKUP(TB_Vendas[[#This Row],[Vendedor]],Vendedores!$B$5:$B$9,Vendedores!$E$5:$E$9)</f>
        <v>0.15</v>
      </c>
      <c r="K50" s="31">
        <f>IF(TB_Vendas[[#This Row],[Desconto 
(Diretão)]]&lt;=TB_Vendas[[#This Row],[Desconto 
(Vendedor)]],TB_Vendas[[#This Row],[Desconto 
(Diretão)]],TB_Vendas[[#This Row],[Desconto 
(Vendedor)]])</f>
        <v>0.15</v>
      </c>
      <c r="L50" s="2">
        <f>TB_Vendas[[#This Row],[Preço Unitário]]*TB_Vendas[[#This Row],[Qtd]]</f>
        <v>1039.5999999999999</v>
      </c>
      <c r="M50" s="1" t="s">
        <v>114</v>
      </c>
    </row>
    <row r="51" spans="1:13">
      <c r="A51" s="4">
        <f>MONTH(TB_Vendas[[#This Row],[Data]])</f>
        <v>6</v>
      </c>
      <c r="B51" s="3">
        <v>45084</v>
      </c>
      <c r="C51" s="4" t="s">
        <v>34</v>
      </c>
      <c r="D51" s="4" t="str">
        <f>_xlfn.XLOOKUP(TB_Vendas[[#This Row],[Código]],TB_Produtos[Código],TB_Produtos[Categoria])</f>
        <v>Acessórios</v>
      </c>
      <c r="E51" s="1">
        <v>3</v>
      </c>
      <c r="F51" s="7">
        <f>VLOOKUP(TB_Vendas[[#This Row],[Código]],Produtos!$B$6:$G$66,6,0)</f>
        <v>145</v>
      </c>
      <c r="G51" s="1">
        <f>_xlfn.XMATCH(TB_Vendas[[#This Row],[Categoria]],Desc_Categorias,0)</f>
        <v>2</v>
      </c>
      <c r="H51" s="31">
        <f>VLOOKUP(TB_Vendas[[#This Row],[Qtd]],Desc_TabelaToda,TB_Vendas[[#This Row],[Indice]],TRUE)</f>
        <v>0.15</v>
      </c>
      <c r="I51" s="31" cm="1">
        <f t="array" ref="I51">INDEX(Desc_TabelaToda,MATCH(TB_Vendas[[#This Row],[Qtd]],Desc_Quantidades,1),MATCH(_xlfn.XLOOKUP(TB_Vendas[[#This Row],[Código]],TB_Produtos[[#All],[Código]],TB_Produtos[[#All],[Categoria]]),Desc_Categorias,0))</f>
        <v>0.15</v>
      </c>
      <c r="J51" s="31">
        <f>_xlfn.XLOOKUP(TB_Vendas[[#This Row],[Vendedor]],Vendedores!$B$5:$B$9,Vendedores!$E$5:$E$9)</f>
        <v>0.2</v>
      </c>
      <c r="K51" s="31">
        <f>IF(TB_Vendas[[#This Row],[Desconto 
(Diretão)]]&lt;=TB_Vendas[[#This Row],[Desconto 
(Vendedor)]],TB_Vendas[[#This Row],[Desconto 
(Diretão)]],TB_Vendas[[#This Row],[Desconto 
(Vendedor)]])</f>
        <v>0.15</v>
      </c>
      <c r="L51" s="2">
        <f>TB_Vendas[[#This Row],[Preço Unitário]]*TB_Vendas[[#This Row],[Qtd]]</f>
        <v>435</v>
      </c>
      <c r="M51" s="1" t="s">
        <v>113</v>
      </c>
    </row>
    <row r="52" spans="1:13">
      <c r="A52" s="4">
        <f>MONTH(TB_Vendas[[#This Row],[Data]])</f>
        <v>6</v>
      </c>
      <c r="B52" s="3">
        <v>45084</v>
      </c>
      <c r="C52" s="4" t="s">
        <v>68</v>
      </c>
      <c r="D52" s="4" t="str">
        <f>_xlfn.XLOOKUP(TB_Vendas[[#This Row],[Código]],TB_Produtos[Código],TB_Produtos[Categoria])</f>
        <v>Vestuário</v>
      </c>
      <c r="E52" s="1">
        <v>2</v>
      </c>
      <c r="F52" s="7">
        <f>VLOOKUP(TB_Vendas[[#This Row],[Código]],Produtos!$B$6:$G$66,6,0)</f>
        <v>142.9</v>
      </c>
      <c r="G52" s="1">
        <f>_xlfn.XMATCH(TB_Vendas[[#This Row],[Categoria]],Desc_Categorias,0)</f>
        <v>3</v>
      </c>
      <c r="H52" s="31">
        <f>VLOOKUP(TB_Vendas[[#This Row],[Qtd]],Desc_TabelaToda,TB_Vendas[[#This Row],[Indice]],TRUE)</f>
        <v>0.15</v>
      </c>
      <c r="I52" s="31" cm="1">
        <f t="array" ref="I52">INDEX(Desc_TabelaToda,MATCH(TB_Vendas[[#This Row],[Qtd]],Desc_Quantidades,1),MATCH(_xlfn.XLOOKUP(TB_Vendas[[#This Row],[Código]],TB_Produtos[[#All],[Código]],TB_Produtos[[#All],[Categoria]]),Desc_Categorias,0))</f>
        <v>0.15</v>
      </c>
      <c r="J52" s="31">
        <f>_xlfn.XLOOKUP(TB_Vendas[[#This Row],[Vendedor]],Vendedores!$B$5:$B$9,Vendedores!$E$5:$E$9)</f>
        <v>0.1</v>
      </c>
      <c r="K52" s="31">
        <f>IF(TB_Vendas[[#This Row],[Desconto 
(Diretão)]]&lt;=TB_Vendas[[#This Row],[Desconto 
(Vendedor)]],TB_Vendas[[#This Row],[Desconto 
(Diretão)]],TB_Vendas[[#This Row],[Desconto 
(Vendedor)]])</f>
        <v>0.1</v>
      </c>
      <c r="L52" s="2">
        <f>TB_Vendas[[#This Row],[Preço Unitário]]*TB_Vendas[[#This Row],[Qtd]]</f>
        <v>285.8</v>
      </c>
      <c r="M52" s="1" t="s">
        <v>115</v>
      </c>
    </row>
    <row r="53" spans="1:13">
      <c r="A53" s="4">
        <f>MONTH(TB_Vendas[[#This Row],[Data]])</f>
        <v>6</v>
      </c>
      <c r="B53" s="3">
        <v>45086</v>
      </c>
      <c r="C53" s="4" t="s">
        <v>109</v>
      </c>
      <c r="D53" s="4" t="str">
        <f>_xlfn.XLOOKUP(TB_Vendas[[#This Row],[Código]],TB_Produtos[Código],TB_Produtos[Categoria])</f>
        <v>Vestuário</v>
      </c>
      <c r="E53" s="1">
        <v>2</v>
      </c>
      <c r="F53" s="7">
        <f>VLOOKUP(TB_Vendas[[#This Row],[Código]],Produtos!$B$6:$G$66,6,0)</f>
        <v>180</v>
      </c>
      <c r="G53" s="1">
        <f>_xlfn.XMATCH(TB_Vendas[[#This Row],[Categoria]],Desc_Categorias,0)</f>
        <v>3</v>
      </c>
      <c r="H53" s="31">
        <f>VLOOKUP(TB_Vendas[[#This Row],[Qtd]],Desc_TabelaToda,TB_Vendas[[#This Row],[Indice]],TRUE)</f>
        <v>0.15</v>
      </c>
      <c r="I53" s="31" cm="1">
        <f t="array" ref="I53">INDEX(Desc_TabelaToda,MATCH(TB_Vendas[[#This Row],[Qtd]],Desc_Quantidades,1),MATCH(_xlfn.XLOOKUP(TB_Vendas[[#This Row],[Código]],TB_Produtos[[#All],[Código]],TB_Produtos[[#All],[Categoria]]),Desc_Categorias,0))</f>
        <v>0.15</v>
      </c>
      <c r="J53" s="31">
        <f>_xlfn.XLOOKUP(TB_Vendas[[#This Row],[Vendedor]],Vendedores!$B$5:$B$9,Vendedores!$E$5:$E$9)</f>
        <v>0.2</v>
      </c>
      <c r="K53" s="31">
        <f>IF(TB_Vendas[[#This Row],[Desconto 
(Diretão)]]&lt;=TB_Vendas[[#This Row],[Desconto 
(Vendedor)]],TB_Vendas[[#This Row],[Desconto 
(Diretão)]],TB_Vendas[[#This Row],[Desconto 
(Vendedor)]])</f>
        <v>0.15</v>
      </c>
      <c r="L53" s="2">
        <f>TB_Vendas[[#This Row],[Preço Unitário]]*TB_Vendas[[#This Row],[Qtd]]</f>
        <v>360</v>
      </c>
      <c r="M53" s="1" t="s">
        <v>113</v>
      </c>
    </row>
    <row r="54" spans="1:13">
      <c r="A54" s="4">
        <f>MONTH(TB_Vendas[[#This Row],[Data]])</f>
        <v>6</v>
      </c>
      <c r="B54" s="3">
        <v>45086</v>
      </c>
      <c r="C54" s="4" t="s">
        <v>45</v>
      </c>
      <c r="D54" s="4" t="str">
        <f>_xlfn.XLOOKUP(TB_Vendas[[#This Row],[Código]],TB_Produtos[Código],TB_Produtos[Categoria])</f>
        <v>Vestuário</v>
      </c>
      <c r="E54" s="1">
        <v>2</v>
      </c>
      <c r="F54" s="7">
        <f>VLOOKUP(TB_Vendas[[#This Row],[Código]],Produtos!$B$6:$G$66,6,0)</f>
        <v>42.5</v>
      </c>
      <c r="G54" s="1">
        <f>_xlfn.XMATCH(TB_Vendas[[#This Row],[Categoria]],Desc_Categorias,0)</f>
        <v>3</v>
      </c>
      <c r="H54" s="31">
        <f>VLOOKUP(TB_Vendas[[#This Row],[Qtd]],Desc_TabelaToda,TB_Vendas[[#This Row],[Indice]],TRUE)</f>
        <v>0.15</v>
      </c>
      <c r="I54" s="31" cm="1">
        <f t="array" ref="I54">INDEX(Desc_TabelaToda,MATCH(TB_Vendas[[#This Row],[Qtd]],Desc_Quantidades,1),MATCH(_xlfn.XLOOKUP(TB_Vendas[[#This Row],[Código]],TB_Produtos[[#All],[Código]],TB_Produtos[[#All],[Categoria]]),Desc_Categorias,0))</f>
        <v>0.15</v>
      </c>
      <c r="J54" s="31">
        <f>_xlfn.XLOOKUP(TB_Vendas[[#This Row],[Vendedor]],Vendedores!$B$5:$B$9,Vendedores!$E$5:$E$9)</f>
        <v>0.1</v>
      </c>
      <c r="K54" s="31">
        <f>IF(TB_Vendas[[#This Row],[Desconto 
(Diretão)]]&lt;=TB_Vendas[[#This Row],[Desconto 
(Vendedor)]],TB_Vendas[[#This Row],[Desconto 
(Diretão)]],TB_Vendas[[#This Row],[Desconto 
(Vendedor)]])</f>
        <v>0.1</v>
      </c>
      <c r="L54" s="2">
        <f>TB_Vendas[[#This Row],[Preço Unitário]]*TB_Vendas[[#This Row],[Qtd]]</f>
        <v>85</v>
      </c>
      <c r="M54" s="1" t="s">
        <v>115</v>
      </c>
    </row>
    <row r="55" spans="1:13">
      <c r="A55" s="4">
        <f>MONTH(TB_Vendas[[#This Row],[Data]])</f>
        <v>6</v>
      </c>
      <c r="B55" s="3">
        <v>45088</v>
      </c>
      <c r="C55" s="4" t="s">
        <v>31</v>
      </c>
      <c r="D55" s="4" t="str">
        <f>_xlfn.XLOOKUP(TB_Vendas[[#This Row],[Código]],TB_Produtos[Código],TB_Produtos[Categoria])</f>
        <v>Vestuário</v>
      </c>
      <c r="E55" s="1">
        <v>1</v>
      </c>
      <c r="F55" s="7">
        <f>VLOOKUP(TB_Vendas[[#This Row],[Código]],Produtos!$B$6:$G$66,6,0)</f>
        <v>65.900000000000006</v>
      </c>
      <c r="G55" s="1">
        <f>_xlfn.XMATCH(TB_Vendas[[#This Row],[Categoria]],Desc_Categorias,0)</f>
        <v>3</v>
      </c>
      <c r="H55" s="31">
        <f>VLOOKUP(TB_Vendas[[#This Row],[Qtd]],Desc_TabelaToda,TB_Vendas[[#This Row],[Indice]],TRUE)</f>
        <v>0.1</v>
      </c>
      <c r="I55" s="31" cm="1">
        <f t="array" ref="I55">INDEX(Desc_TabelaToda,MATCH(TB_Vendas[[#This Row],[Qtd]],Desc_Quantidades,1),MATCH(_xlfn.XLOOKUP(TB_Vendas[[#This Row],[Código]],TB_Produtos[[#All],[Código]],TB_Produtos[[#All],[Categoria]]),Desc_Categorias,0))</f>
        <v>0.1</v>
      </c>
      <c r="J55" s="31">
        <f>_xlfn.XLOOKUP(TB_Vendas[[#This Row],[Vendedor]],Vendedores!$B$5:$B$9,Vendedores!$E$5:$E$9)</f>
        <v>0.15</v>
      </c>
      <c r="K55" s="31">
        <f>IF(TB_Vendas[[#This Row],[Desconto 
(Diretão)]]&lt;=TB_Vendas[[#This Row],[Desconto 
(Vendedor)]],TB_Vendas[[#This Row],[Desconto 
(Diretão)]],TB_Vendas[[#This Row],[Desconto 
(Vendedor)]])</f>
        <v>0.1</v>
      </c>
      <c r="L55" s="2">
        <f>TB_Vendas[[#This Row],[Preço Unitário]]*TB_Vendas[[#This Row],[Qtd]]</f>
        <v>65.900000000000006</v>
      </c>
      <c r="M55" s="1" t="s">
        <v>114</v>
      </c>
    </row>
    <row r="56" spans="1:13">
      <c r="A56" s="4">
        <f>MONTH(TB_Vendas[[#This Row],[Data]])</f>
        <v>6</v>
      </c>
      <c r="B56" s="3">
        <v>45090</v>
      </c>
      <c r="C56" s="4" t="s">
        <v>106</v>
      </c>
      <c r="D56" s="4" t="str">
        <f>_xlfn.XLOOKUP(TB_Vendas[[#This Row],[Código]],TB_Produtos[Código],TB_Produtos[Categoria])</f>
        <v>Vestuário</v>
      </c>
      <c r="E56" s="1">
        <v>1</v>
      </c>
      <c r="F56" s="7">
        <f>VLOOKUP(TB_Vendas[[#This Row],[Código]],Produtos!$B$6:$G$66,6,0)</f>
        <v>180</v>
      </c>
      <c r="G56" s="1">
        <f>_xlfn.XMATCH(TB_Vendas[[#This Row],[Categoria]],Desc_Categorias,0)</f>
        <v>3</v>
      </c>
      <c r="H56" s="31">
        <f>VLOOKUP(TB_Vendas[[#This Row],[Qtd]],Desc_TabelaToda,TB_Vendas[[#This Row],[Indice]],TRUE)</f>
        <v>0.1</v>
      </c>
      <c r="I56" s="31" cm="1">
        <f t="array" ref="I56">INDEX(Desc_TabelaToda,MATCH(TB_Vendas[[#This Row],[Qtd]],Desc_Quantidades,1),MATCH(_xlfn.XLOOKUP(TB_Vendas[[#This Row],[Código]],TB_Produtos[[#All],[Código]],TB_Produtos[[#All],[Categoria]]),Desc_Categorias,0))</f>
        <v>0.1</v>
      </c>
      <c r="J56" s="31">
        <f>_xlfn.XLOOKUP(TB_Vendas[[#This Row],[Vendedor]],Vendedores!$B$5:$B$9,Vendedores!$E$5:$E$9)</f>
        <v>0.1</v>
      </c>
      <c r="K56" s="31">
        <f>IF(TB_Vendas[[#This Row],[Desconto 
(Diretão)]]&lt;=TB_Vendas[[#This Row],[Desconto 
(Vendedor)]],TB_Vendas[[#This Row],[Desconto 
(Diretão)]],TB_Vendas[[#This Row],[Desconto 
(Vendedor)]])</f>
        <v>0.1</v>
      </c>
      <c r="L56" s="2">
        <f>TB_Vendas[[#This Row],[Preço Unitário]]*TB_Vendas[[#This Row],[Qtd]]</f>
        <v>180</v>
      </c>
      <c r="M56" s="1" t="s">
        <v>115</v>
      </c>
    </row>
    <row r="57" spans="1:13">
      <c r="A57" s="4">
        <f>MONTH(TB_Vendas[[#This Row],[Data]])</f>
        <v>6</v>
      </c>
      <c r="B57" s="3">
        <v>45093</v>
      </c>
      <c r="C57" s="4" t="s">
        <v>96</v>
      </c>
      <c r="D57" s="4" t="str">
        <f>_xlfn.XLOOKUP(TB_Vendas[[#This Row],[Código]],TB_Produtos[Código],TB_Produtos[Categoria])</f>
        <v>Vestuário</v>
      </c>
      <c r="E57" s="1">
        <v>3</v>
      </c>
      <c r="F57" s="7">
        <f>VLOOKUP(TB_Vendas[[#This Row],[Código]],Produtos!$B$6:$G$66,6,0)</f>
        <v>32.9</v>
      </c>
      <c r="G57" s="1">
        <f>_xlfn.XMATCH(TB_Vendas[[#This Row],[Categoria]],Desc_Categorias,0)</f>
        <v>3</v>
      </c>
      <c r="H57" s="31">
        <f>VLOOKUP(TB_Vendas[[#This Row],[Qtd]],Desc_TabelaToda,TB_Vendas[[#This Row],[Indice]],TRUE)</f>
        <v>0.2</v>
      </c>
      <c r="I57" s="31" cm="1">
        <f t="array" ref="I57">INDEX(Desc_TabelaToda,MATCH(TB_Vendas[[#This Row],[Qtd]],Desc_Quantidades,1),MATCH(_xlfn.XLOOKUP(TB_Vendas[[#This Row],[Código]],TB_Produtos[[#All],[Código]],TB_Produtos[[#All],[Categoria]]),Desc_Categorias,0))</f>
        <v>0.2</v>
      </c>
      <c r="J57" s="31">
        <f>_xlfn.XLOOKUP(TB_Vendas[[#This Row],[Vendedor]],Vendedores!$B$5:$B$9,Vendedores!$E$5:$E$9)</f>
        <v>0.15</v>
      </c>
      <c r="K57" s="31">
        <f>IF(TB_Vendas[[#This Row],[Desconto 
(Diretão)]]&lt;=TB_Vendas[[#This Row],[Desconto 
(Vendedor)]],TB_Vendas[[#This Row],[Desconto 
(Diretão)]],TB_Vendas[[#This Row],[Desconto 
(Vendedor)]])</f>
        <v>0.15</v>
      </c>
      <c r="L57" s="2">
        <f>TB_Vendas[[#This Row],[Preço Unitário]]*TB_Vendas[[#This Row],[Qtd]]</f>
        <v>98.699999999999989</v>
      </c>
      <c r="M57" s="1" t="s">
        <v>114</v>
      </c>
    </row>
    <row r="58" spans="1:13">
      <c r="A58" s="4">
        <f>MONTH(TB_Vendas[[#This Row],[Data]])</f>
        <v>6</v>
      </c>
      <c r="B58" s="3">
        <v>45093</v>
      </c>
      <c r="C58" s="4" t="s">
        <v>39</v>
      </c>
      <c r="D58" s="4" t="str">
        <f>_xlfn.XLOOKUP(TB_Vendas[[#This Row],[Código]],TB_Produtos[Código],TB_Produtos[Categoria])</f>
        <v>Vestuário</v>
      </c>
      <c r="E58" s="1">
        <v>4</v>
      </c>
      <c r="F58" s="7">
        <f>VLOOKUP(TB_Vendas[[#This Row],[Código]],Produtos!$B$6:$G$66,6,0)</f>
        <v>92.9</v>
      </c>
      <c r="G58" s="1">
        <f>_xlfn.XMATCH(TB_Vendas[[#This Row],[Categoria]],Desc_Categorias,0)</f>
        <v>3</v>
      </c>
      <c r="H58" s="31">
        <f>VLOOKUP(TB_Vendas[[#This Row],[Qtd]],Desc_TabelaToda,TB_Vendas[[#This Row],[Indice]],TRUE)</f>
        <v>0.2</v>
      </c>
      <c r="I58" s="31" cm="1">
        <f t="array" ref="I58">INDEX(Desc_TabelaToda,MATCH(TB_Vendas[[#This Row],[Qtd]],Desc_Quantidades,1),MATCH(_xlfn.XLOOKUP(TB_Vendas[[#This Row],[Código]],TB_Produtos[[#All],[Código]],TB_Produtos[[#All],[Categoria]]),Desc_Categorias,0))</f>
        <v>0.2</v>
      </c>
      <c r="J58" s="31">
        <f>_xlfn.XLOOKUP(TB_Vendas[[#This Row],[Vendedor]],Vendedores!$B$5:$B$9,Vendedores!$E$5:$E$9)</f>
        <v>0.2</v>
      </c>
      <c r="K58" s="31">
        <f>IF(TB_Vendas[[#This Row],[Desconto 
(Diretão)]]&lt;=TB_Vendas[[#This Row],[Desconto 
(Vendedor)]],TB_Vendas[[#This Row],[Desconto 
(Diretão)]],TB_Vendas[[#This Row],[Desconto 
(Vendedor)]])</f>
        <v>0.2</v>
      </c>
      <c r="L58" s="2">
        <f>TB_Vendas[[#This Row],[Preço Unitário]]*TB_Vendas[[#This Row],[Qtd]]</f>
        <v>371.6</v>
      </c>
      <c r="M58" s="1" t="s">
        <v>113</v>
      </c>
    </row>
    <row r="59" spans="1:13">
      <c r="A59" s="4">
        <f>MONTH(TB_Vendas[[#This Row],[Data]])</f>
        <v>6</v>
      </c>
      <c r="B59" s="3">
        <v>45094</v>
      </c>
      <c r="C59" s="4" t="s">
        <v>63</v>
      </c>
      <c r="D59" s="4" t="str">
        <f>_xlfn.XLOOKUP(TB_Vendas[[#This Row],[Código]],TB_Produtos[Código],TB_Produtos[Categoria])</f>
        <v>Calçado</v>
      </c>
      <c r="E59" s="1">
        <v>2</v>
      </c>
      <c r="F59" s="7">
        <f>VLOOKUP(TB_Vendas[[#This Row],[Código]],Produtos!$B$6:$G$66,6,0)</f>
        <v>259.89999999999998</v>
      </c>
      <c r="G59" s="1">
        <f>_xlfn.XMATCH(TB_Vendas[[#This Row],[Categoria]],Desc_Categorias,0)</f>
        <v>4</v>
      </c>
      <c r="H59" s="31">
        <f>VLOOKUP(TB_Vendas[[#This Row],[Qtd]],Desc_TabelaToda,TB_Vendas[[#This Row],[Indice]],TRUE)</f>
        <v>0.1</v>
      </c>
      <c r="I59" s="31" cm="1">
        <f t="array" ref="I59">INDEX(Desc_TabelaToda,MATCH(TB_Vendas[[#This Row],[Qtd]],Desc_Quantidades,1),MATCH(_xlfn.XLOOKUP(TB_Vendas[[#This Row],[Código]],TB_Produtos[[#All],[Código]],TB_Produtos[[#All],[Categoria]]),Desc_Categorias,0))</f>
        <v>0.1</v>
      </c>
      <c r="J59" s="31">
        <f>_xlfn.XLOOKUP(TB_Vendas[[#This Row],[Vendedor]],Vendedores!$B$5:$B$9,Vendedores!$E$5:$E$9)</f>
        <v>0.1</v>
      </c>
      <c r="K59" s="31">
        <f>IF(TB_Vendas[[#This Row],[Desconto 
(Diretão)]]&lt;=TB_Vendas[[#This Row],[Desconto 
(Vendedor)]],TB_Vendas[[#This Row],[Desconto 
(Diretão)]],TB_Vendas[[#This Row],[Desconto 
(Vendedor)]])</f>
        <v>0.1</v>
      </c>
      <c r="L59" s="2">
        <f>TB_Vendas[[#This Row],[Preço Unitário]]*TB_Vendas[[#This Row],[Qtd]]</f>
        <v>519.79999999999995</v>
      </c>
      <c r="M59" s="1" t="s">
        <v>115</v>
      </c>
    </row>
    <row r="60" spans="1:13">
      <c r="A60" s="4">
        <f>MONTH(TB_Vendas[[#This Row],[Data]])</f>
        <v>6</v>
      </c>
      <c r="B60" s="3">
        <v>45097</v>
      </c>
      <c r="C60" s="4" t="s">
        <v>54</v>
      </c>
      <c r="D60" s="4" t="str">
        <f>_xlfn.XLOOKUP(TB_Vendas[[#This Row],[Código]],TB_Produtos[Código],TB_Produtos[Categoria])</f>
        <v>Vestuário</v>
      </c>
      <c r="E60" s="1">
        <v>1</v>
      </c>
      <c r="F60" s="7">
        <f>VLOOKUP(TB_Vendas[[#This Row],[Código]],Produtos!$B$6:$G$66,6,0)</f>
        <v>259.89999999999998</v>
      </c>
      <c r="G60" s="1">
        <f>_xlfn.XMATCH(TB_Vendas[[#This Row],[Categoria]],Desc_Categorias,0)</f>
        <v>3</v>
      </c>
      <c r="H60" s="31">
        <f>VLOOKUP(TB_Vendas[[#This Row],[Qtd]],Desc_TabelaToda,TB_Vendas[[#This Row],[Indice]],TRUE)</f>
        <v>0.1</v>
      </c>
      <c r="I60" s="31" cm="1">
        <f t="array" ref="I60">INDEX(Desc_TabelaToda,MATCH(TB_Vendas[[#This Row],[Qtd]],Desc_Quantidades,1),MATCH(_xlfn.XLOOKUP(TB_Vendas[[#This Row],[Código]],TB_Produtos[[#All],[Código]],TB_Produtos[[#All],[Categoria]]),Desc_Categorias,0))</f>
        <v>0.1</v>
      </c>
      <c r="J60" s="31">
        <f>_xlfn.XLOOKUP(TB_Vendas[[#This Row],[Vendedor]],Vendedores!$B$5:$B$9,Vendedores!$E$5:$E$9)</f>
        <v>0.15</v>
      </c>
      <c r="K60" s="31">
        <f>IF(TB_Vendas[[#This Row],[Desconto 
(Diretão)]]&lt;=TB_Vendas[[#This Row],[Desconto 
(Vendedor)]],TB_Vendas[[#This Row],[Desconto 
(Diretão)]],TB_Vendas[[#This Row],[Desconto 
(Vendedor)]])</f>
        <v>0.1</v>
      </c>
      <c r="L60" s="2">
        <f>TB_Vendas[[#This Row],[Preço Unitário]]*TB_Vendas[[#This Row],[Qtd]]</f>
        <v>259.89999999999998</v>
      </c>
      <c r="M60" s="1" t="s">
        <v>117</v>
      </c>
    </row>
    <row r="61" spans="1:13">
      <c r="A61" s="4">
        <f>MONTH(TB_Vendas[[#This Row],[Data]])</f>
        <v>6</v>
      </c>
      <c r="B61" s="3">
        <v>45105</v>
      </c>
      <c r="C61" s="4" t="s">
        <v>45</v>
      </c>
      <c r="D61" s="4" t="str">
        <f>_xlfn.XLOOKUP(TB_Vendas[[#This Row],[Código]],TB_Produtos[Código],TB_Produtos[Categoria])</f>
        <v>Vestuário</v>
      </c>
      <c r="E61" s="1">
        <v>5</v>
      </c>
      <c r="F61" s="7">
        <f>VLOOKUP(TB_Vendas[[#This Row],[Código]],Produtos!$B$6:$G$66,6,0)</f>
        <v>42.5</v>
      </c>
      <c r="G61" s="1">
        <f>_xlfn.XMATCH(TB_Vendas[[#This Row],[Categoria]],Desc_Categorias,0)</f>
        <v>3</v>
      </c>
      <c r="H61" s="31">
        <f>VLOOKUP(TB_Vendas[[#This Row],[Qtd]],Desc_TabelaToda,TB_Vendas[[#This Row],[Indice]],TRUE)</f>
        <v>0.25</v>
      </c>
      <c r="I61" s="31" cm="1">
        <f t="array" ref="I61">INDEX(Desc_TabelaToda,MATCH(TB_Vendas[[#This Row],[Qtd]],Desc_Quantidades,1),MATCH(_xlfn.XLOOKUP(TB_Vendas[[#This Row],[Código]],TB_Produtos[[#All],[Código]],TB_Produtos[[#All],[Categoria]]),Desc_Categorias,0))</f>
        <v>0.25</v>
      </c>
      <c r="J61" s="31">
        <f>_xlfn.XLOOKUP(TB_Vendas[[#This Row],[Vendedor]],Vendedores!$B$5:$B$9,Vendedores!$E$5:$E$9)</f>
        <v>0.15</v>
      </c>
      <c r="K61" s="31">
        <f>IF(TB_Vendas[[#This Row],[Desconto 
(Diretão)]]&lt;=TB_Vendas[[#This Row],[Desconto 
(Vendedor)]],TB_Vendas[[#This Row],[Desconto 
(Diretão)]],TB_Vendas[[#This Row],[Desconto 
(Vendedor)]])</f>
        <v>0.15</v>
      </c>
      <c r="L61" s="2">
        <f>TB_Vendas[[#This Row],[Preço Unitário]]*TB_Vendas[[#This Row],[Qtd]]</f>
        <v>212.5</v>
      </c>
      <c r="M61" s="1" t="s">
        <v>117</v>
      </c>
    </row>
    <row r="62" spans="1:13">
      <c r="A62" s="4">
        <f>MONTH(TB_Vendas[[#This Row],[Data]])</f>
        <v>6</v>
      </c>
      <c r="B62" s="3">
        <v>45105</v>
      </c>
      <c r="C62" s="4" t="s">
        <v>96</v>
      </c>
      <c r="D62" s="4" t="str">
        <f>_xlfn.XLOOKUP(TB_Vendas[[#This Row],[Código]],TB_Produtos[Código],TB_Produtos[Categoria])</f>
        <v>Vestuário</v>
      </c>
      <c r="E62" s="1">
        <v>2</v>
      </c>
      <c r="F62" s="7">
        <f>VLOOKUP(TB_Vendas[[#This Row],[Código]],Produtos!$B$6:$G$66,6,0)</f>
        <v>32.9</v>
      </c>
      <c r="G62" s="1">
        <f>_xlfn.XMATCH(TB_Vendas[[#This Row],[Categoria]],Desc_Categorias,0)</f>
        <v>3</v>
      </c>
      <c r="H62" s="31">
        <f>VLOOKUP(TB_Vendas[[#This Row],[Qtd]],Desc_TabelaToda,TB_Vendas[[#This Row],[Indice]],TRUE)</f>
        <v>0.15</v>
      </c>
      <c r="I62" s="31" cm="1">
        <f t="array" ref="I62">INDEX(Desc_TabelaToda,MATCH(TB_Vendas[[#This Row],[Qtd]],Desc_Quantidades,1),MATCH(_xlfn.XLOOKUP(TB_Vendas[[#This Row],[Código]],TB_Produtos[[#All],[Código]],TB_Produtos[[#All],[Categoria]]),Desc_Categorias,0))</f>
        <v>0.15</v>
      </c>
      <c r="J62" s="31">
        <f>_xlfn.XLOOKUP(TB_Vendas[[#This Row],[Vendedor]],Vendedores!$B$5:$B$9,Vendedores!$E$5:$E$9)</f>
        <v>0.15</v>
      </c>
      <c r="K62" s="31">
        <f>IF(TB_Vendas[[#This Row],[Desconto 
(Diretão)]]&lt;=TB_Vendas[[#This Row],[Desconto 
(Vendedor)]],TB_Vendas[[#This Row],[Desconto 
(Diretão)]],TB_Vendas[[#This Row],[Desconto 
(Vendedor)]])</f>
        <v>0.15</v>
      </c>
      <c r="L62" s="2">
        <f>TB_Vendas[[#This Row],[Preço Unitário]]*TB_Vendas[[#This Row],[Qtd]]</f>
        <v>65.8</v>
      </c>
      <c r="M62" s="1" t="s">
        <v>117</v>
      </c>
    </row>
    <row r="63" spans="1:13">
      <c r="A63" s="4">
        <f>MONTH(TB_Vendas[[#This Row],[Data]])</f>
        <v>6</v>
      </c>
      <c r="B63" s="3">
        <v>45106</v>
      </c>
      <c r="C63" s="4" t="s">
        <v>39</v>
      </c>
      <c r="D63" s="4" t="str">
        <f>_xlfn.XLOOKUP(TB_Vendas[[#This Row],[Código]],TB_Produtos[Código],TB_Produtos[Categoria])</f>
        <v>Vestuário</v>
      </c>
      <c r="E63" s="1">
        <v>3</v>
      </c>
      <c r="F63" s="7">
        <f>VLOOKUP(TB_Vendas[[#This Row],[Código]],Produtos!$B$6:$G$66,6,0)</f>
        <v>92.9</v>
      </c>
      <c r="G63" s="1">
        <f>_xlfn.XMATCH(TB_Vendas[[#This Row],[Categoria]],Desc_Categorias,0)</f>
        <v>3</v>
      </c>
      <c r="H63" s="31">
        <f>VLOOKUP(TB_Vendas[[#This Row],[Qtd]],Desc_TabelaToda,TB_Vendas[[#This Row],[Indice]],TRUE)</f>
        <v>0.2</v>
      </c>
      <c r="I63" s="31" cm="1">
        <f t="array" ref="I63">INDEX(Desc_TabelaToda,MATCH(TB_Vendas[[#This Row],[Qtd]],Desc_Quantidades,1),MATCH(_xlfn.XLOOKUP(TB_Vendas[[#This Row],[Código]],TB_Produtos[[#All],[Código]],TB_Produtos[[#All],[Categoria]]),Desc_Categorias,0))</f>
        <v>0.2</v>
      </c>
      <c r="J63" s="31">
        <f>_xlfn.XLOOKUP(TB_Vendas[[#This Row],[Vendedor]],Vendedores!$B$5:$B$9,Vendedores!$E$5:$E$9)</f>
        <v>0.2</v>
      </c>
      <c r="K63" s="31">
        <f>IF(TB_Vendas[[#This Row],[Desconto 
(Diretão)]]&lt;=TB_Vendas[[#This Row],[Desconto 
(Vendedor)]],TB_Vendas[[#This Row],[Desconto 
(Diretão)]],TB_Vendas[[#This Row],[Desconto 
(Vendedor)]])</f>
        <v>0.2</v>
      </c>
      <c r="L63" s="2">
        <f>TB_Vendas[[#This Row],[Preço Unitário]]*TB_Vendas[[#This Row],[Qtd]]</f>
        <v>278.70000000000005</v>
      </c>
      <c r="M63" s="1" t="s">
        <v>113</v>
      </c>
    </row>
    <row r="64" spans="1:13">
      <c r="A64" s="1">
        <f>MONTH(TB_Vendas[[#This Row],[Data]])</f>
        <v>6</v>
      </c>
      <c r="B64" s="3">
        <v>45107</v>
      </c>
      <c r="C64" s="4" t="s">
        <v>46</v>
      </c>
      <c r="D64" s="4" t="str">
        <f>_xlfn.XLOOKUP(TB_Vendas[[#This Row],[Código]],TB_Produtos[Código],TB_Produtos[Categoria])</f>
        <v>Vestuário</v>
      </c>
      <c r="E64" s="1">
        <v>10</v>
      </c>
      <c r="F64" s="7">
        <f>VLOOKUP(TB_Vendas[[#This Row],[Código]],Produtos!$B$6:$G$66,6,0)</f>
        <v>25.9</v>
      </c>
      <c r="G64" s="1">
        <f>_xlfn.XMATCH(TB_Vendas[[#This Row],[Categoria]],Desc_Categorias,0)</f>
        <v>3</v>
      </c>
      <c r="H64" s="31">
        <f>VLOOKUP(TB_Vendas[[#This Row],[Qtd]],Desc_TabelaToda,TB_Vendas[[#This Row],[Indice]],TRUE)</f>
        <v>0.3</v>
      </c>
      <c r="I64" s="31" cm="1">
        <f t="array" ref="I64">INDEX(Desc_TabelaToda,MATCH(TB_Vendas[[#This Row],[Qtd]],Desc_Quantidades,1),MATCH(_xlfn.XLOOKUP(TB_Vendas[[#This Row],[Código]],TB_Produtos[[#All],[Código]],TB_Produtos[[#All],[Categoria]]),Desc_Categorias,0))</f>
        <v>0.3</v>
      </c>
      <c r="J64" s="31">
        <f>_xlfn.XLOOKUP(TB_Vendas[[#This Row],[Vendedor]],Vendedores!$B$5:$B$9,Vendedores!$E$5:$E$9)</f>
        <v>0.2</v>
      </c>
      <c r="K64" s="31">
        <f>IF(TB_Vendas[[#This Row],[Desconto 
(Diretão)]]&lt;=TB_Vendas[[#This Row],[Desconto 
(Vendedor)]],TB_Vendas[[#This Row],[Desconto 
(Diretão)]],TB_Vendas[[#This Row],[Desconto 
(Vendedor)]])</f>
        <v>0.2</v>
      </c>
      <c r="L64" s="2">
        <f>TB_Vendas[[#This Row],[Preço Unitário]]*TB_Vendas[[#This Row],[Qtd]]</f>
        <v>259</v>
      </c>
      <c r="M64" s="1" t="s">
        <v>113</v>
      </c>
    </row>
    <row r="65" spans="1:13">
      <c r="A65" s="1">
        <f>MONTH(TB_Vendas[[#This Row],[Data]])</f>
        <v>7</v>
      </c>
      <c r="B65" s="3">
        <v>45112</v>
      </c>
      <c r="C65" s="4" t="s">
        <v>88</v>
      </c>
      <c r="D65" s="4" t="str">
        <f>_xlfn.XLOOKUP(TB_Vendas[[#This Row],[Código]],TB_Produtos[Código],TB_Produtos[Categoria])</f>
        <v>Vestuário</v>
      </c>
      <c r="E65" s="1">
        <v>1</v>
      </c>
      <c r="F65" s="7">
        <f>VLOOKUP(TB_Vendas[[#This Row],[Código]],Produtos!$B$6:$G$66,6,0)</f>
        <v>72.5</v>
      </c>
      <c r="G65" s="1">
        <f>_xlfn.XMATCH(TB_Vendas[[#This Row],[Categoria]],Desc_Categorias,0)</f>
        <v>3</v>
      </c>
      <c r="H65" s="31">
        <f>VLOOKUP(TB_Vendas[[#This Row],[Qtd]],Desc_TabelaToda,TB_Vendas[[#This Row],[Indice]],TRUE)</f>
        <v>0.1</v>
      </c>
      <c r="I65" s="31" cm="1">
        <f t="array" ref="I65">INDEX(Desc_TabelaToda,MATCH(TB_Vendas[[#This Row],[Qtd]],Desc_Quantidades,1),MATCH(_xlfn.XLOOKUP(TB_Vendas[[#This Row],[Código]],TB_Produtos[[#All],[Código]],TB_Produtos[[#All],[Categoria]]),Desc_Categorias,0))</f>
        <v>0.1</v>
      </c>
      <c r="J65" s="31">
        <f>_xlfn.XLOOKUP(TB_Vendas[[#This Row],[Vendedor]],Vendedores!$B$5:$B$9,Vendedores!$E$5:$E$9)</f>
        <v>0.15</v>
      </c>
      <c r="K65" s="31">
        <f>IF(TB_Vendas[[#This Row],[Desconto 
(Diretão)]]&lt;=TB_Vendas[[#This Row],[Desconto 
(Vendedor)]],TB_Vendas[[#This Row],[Desconto 
(Diretão)]],TB_Vendas[[#This Row],[Desconto 
(Vendedor)]])</f>
        <v>0.1</v>
      </c>
      <c r="L65" s="2">
        <f>TB_Vendas[[#This Row],[Preço Unitário]]*TB_Vendas[[#This Row],[Qtd]]</f>
        <v>72.5</v>
      </c>
      <c r="M65" s="1" t="s">
        <v>114</v>
      </c>
    </row>
    <row r="66" spans="1:13">
      <c r="A66" s="1">
        <f>MONTH(TB_Vendas[[#This Row],[Data]])</f>
        <v>7</v>
      </c>
      <c r="B66" s="3">
        <v>45113</v>
      </c>
      <c r="C66" s="4" t="s">
        <v>51</v>
      </c>
      <c r="D66" s="4" t="str">
        <f>_xlfn.XLOOKUP(TB_Vendas[[#This Row],[Código]],TB_Produtos[Código],TB_Produtos[Categoria])</f>
        <v>Vestuário</v>
      </c>
      <c r="E66" s="1">
        <v>4</v>
      </c>
      <c r="F66" s="7">
        <f>VLOOKUP(TB_Vendas[[#This Row],[Código]],Produtos!$B$6:$G$66,6,0)</f>
        <v>302.89999999999998</v>
      </c>
      <c r="G66" s="1">
        <f>_xlfn.XMATCH(TB_Vendas[[#This Row],[Categoria]],Desc_Categorias,0)</f>
        <v>3</v>
      </c>
      <c r="H66" s="31">
        <f>VLOOKUP(TB_Vendas[[#This Row],[Qtd]],Desc_TabelaToda,TB_Vendas[[#This Row],[Indice]],TRUE)</f>
        <v>0.2</v>
      </c>
      <c r="I66" s="31" cm="1">
        <f t="array" ref="I66">INDEX(Desc_TabelaToda,MATCH(TB_Vendas[[#This Row],[Qtd]],Desc_Quantidades,1),MATCH(_xlfn.XLOOKUP(TB_Vendas[[#This Row],[Código]],TB_Produtos[[#All],[Código]],TB_Produtos[[#All],[Categoria]]),Desc_Categorias,0))</f>
        <v>0.2</v>
      </c>
      <c r="J66" s="31">
        <f>_xlfn.XLOOKUP(TB_Vendas[[#This Row],[Vendedor]],Vendedores!$B$5:$B$9,Vendedores!$E$5:$E$9)</f>
        <v>0.15</v>
      </c>
      <c r="K66" s="31">
        <f>IF(TB_Vendas[[#This Row],[Desconto 
(Diretão)]]&lt;=TB_Vendas[[#This Row],[Desconto 
(Vendedor)]],TB_Vendas[[#This Row],[Desconto 
(Diretão)]],TB_Vendas[[#This Row],[Desconto 
(Vendedor)]])</f>
        <v>0.15</v>
      </c>
      <c r="L66" s="2">
        <f>TB_Vendas[[#This Row],[Preço Unitário]]*TB_Vendas[[#This Row],[Qtd]]</f>
        <v>1211.5999999999999</v>
      </c>
      <c r="M66" s="1" t="s">
        <v>117</v>
      </c>
    </row>
    <row r="67" spans="1:13">
      <c r="A67" s="1">
        <f>MONTH(TB_Vendas[[#This Row],[Data]])</f>
        <v>7</v>
      </c>
      <c r="B67" s="3">
        <v>45114</v>
      </c>
      <c r="C67" s="4" t="s">
        <v>93</v>
      </c>
      <c r="D67" s="4" t="str">
        <f>_xlfn.XLOOKUP(TB_Vendas[[#This Row],[Código]],TB_Produtos[Código],TB_Produtos[Categoria])</f>
        <v>Vestuário</v>
      </c>
      <c r="E67" s="1">
        <v>8</v>
      </c>
      <c r="F67" s="7">
        <f>VLOOKUP(TB_Vendas[[#This Row],[Código]],Produtos!$B$6:$G$66,6,0)</f>
        <v>289.89999999999998</v>
      </c>
      <c r="G67" s="1">
        <f>_xlfn.XMATCH(TB_Vendas[[#This Row],[Categoria]],Desc_Categorias,0)</f>
        <v>3</v>
      </c>
      <c r="H67" s="31">
        <f>VLOOKUP(TB_Vendas[[#This Row],[Qtd]],Desc_TabelaToda,TB_Vendas[[#This Row],[Indice]],TRUE)</f>
        <v>0.25</v>
      </c>
      <c r="I67" s="31" cm="1">
        <f t="array" ref="I67">INDEX(Desc_TabelaToda,MATCH(TB_Vendas[[#This Row],[Qtd]],Desc_Quantidades,1),MATCH(_xlfn.XLOOKUP(TB_Vendas[[#This Row],[Código]],TB_Produtos[[#All],[Código]],TB_Produtos[[#All],[Categoria]]),Desc_Categorias,0))</f>
        <v>0.25</v>
      </c>
      <c r="J67" s="31">
        <f>_xlfn.XLOOKUP(TB_Vendas[[#This Row],[Vendedor]],Vendedores!$B$5:$B$9,Vendedores!$E$5:$E$9)</f>
        <v>0.2</v>
      </c>
      <c r="K67" s="31">
        <f>IF(TB_Vendas[[#This Row],[Desconto 
(Diretão)]]&lt;=TB_Vendas[[#This Row],[Desconto 
(Vendedor)]],TB_Vendas[[#This Row],[Desconto 
(Diretão)]],TB_Vendas[[#This Row],[Desconto 
(Vendedor)]])</f>
        <v>0.2</v>
      </c>
      <c r="L67" s="2">
        <f>TB_Vendas[[#This Row],[Preço Unitário]]*TB_Vendas[[#This Row],[Qtd]]</f>
        <v>2319.1999999999998</v>
      </c>
      <c r="M67" s="1" t="s">
        <v>113</v>
      </c>
    </row>
    <row r="68" spans="1:13">
      <c r="A68" s="1">
        <f>MONTH(TB_Vendas[[#This Row],[Data]])</f>
        <v>7</v>
      </c>
      <c r="B68" s="3">
        <v>45119</v>
      </c>
      <c r="C68" s="4" t="s">
        <v>84</v>
      </c>
      <c r="D68" s="4" t="str">
        <f>_xlfn.XLOOKUP(TB_Vendas[[#This Row],[Código]],TB_Produtos[Código],TB_Produtos[Categoria])</f>
        <v>Vestuário</v>
      </c>
      <c r="E68" s="1">
        <v>2</v>
      </c>
      <c r="F68" s="7">
        <f>VLOOKUP(TB_Vendas[[#This Row],[Código]],Produtos!$B$6:$G$66,6,0)</f>
        <v>54.9</v>
      </c>
      <c r="G68" s="1">
        <f>_xlfn.XMATCH(TB_Vendas[[#This Row],[Categoria]],Desc_Categorias,0)</f>
        <v>3</v>
      </c>
      <c r="H68" s="31">
        <f>VLOOKUP(TB_Vendas[[#This Row],[Qtd]],Desc_TabelaToda,TB_Vendas[[#This Row],[Indice]],TRUE)</f>
        <v>0.15</v>
      </c>
      <c r="I68" s="31" cm="1">
        <f t="array" ref="I68">INDEX(Desc_TabelaToda,MATCH(TB_Vendas[[#This Row],[Qtd]],Desc_Quantidades,1),MATCH(_xlfn.XLOOKUP(TB_Vendas[[#This Row],[Código]],TB_Produtos[[#All],[Código]],TB_Produtos[[#All],[Categoria]]),Desc_Categorias,0))</f>
        <v>0.15</v>
      </c>
      <c r="J68" s="31">
        <f>_xlfn.XLOOKUP(TB_Vendas[[#This Row],[Vendedor]],Vendedores!$B$5:$B$9,Vendedores!$E$5:$E$9)</f>
        <v>0.2</v>
      </c>
      <c r="K68" s="31">
        <f>IF(TB_Vendas[[#This Row],[Desconto 
(Diretão)]]&lt;=TB_Vendas[[#This Row],[Desconto 
(Vendedor)]],TB_Vendas[[#This Row],[Desconto 
(Diretão)]],TB_Vendas[[#This Row],[Desconto 
(Vendedor)]])</f>
        <v>0.15</v>
      </c>
      <c r="L68" s="2">
        <f>TB_Vendas[[#This Row],[Preço Unitário]]*TB_Vendas[[#This Row],[Qtd]]</f>
        <v>109.8</v>
      </c>
      <c r="M68" s="1" t="s">
        <v>113</v>
      </c>
    </row>
    <row r="69" spans="1:13">
      <c r="A69" s="1">
        <f>MONTH(TB_Vendas[[#This Row],[Data]])</f>
        <v>7</v>
      </c>
      <c r="B69" s="3">
        <v>45120</v>
      </c>
      <c r="C69" s="4" t="s">
        <v>44</v>
      </c>
      <c r="D69" s="4" t="str">
        <f>_xlfn.XLOOKUP(TB_Vendas[[#This Row],[Código]],TB_Produtos[Código],TB_Produtos[Categoria])</f>
        <v>Vestuário</v>
      </c>
      <c r="E69" s="1">
        <v>2</v>
      </c>
      <c r="F69" s="7">
        <f>VLOOKUP(TB_Vendas[[#This Row],[Código]],Produtos!$B$6:$G$66,6,0)</f>
        <v>39.9</v>
      </c>
      <c r="G69" s="1">
        <f>_xlfn.XMATCH(TB_Vendas[[#This Row],[Categoria]],Desc_Categorias,0)</f>
        <v>3</v>
      </c>
      <c r="H69" s="31">
        <f>VLOOKUP(TB_Vendas[[#This Row],[Qtd]],Desc_TabelaToda,TB_Vendas[[#This Row],[Indice]],TRUE)</f>
        <v>0.15</v>
      </c>
      <c r="I69" s="31" cm="1">
        <f t="array" ref="I69">INDEX(Desc_TabelaToda,MATCH(TB_Vendas[[#This Row],[Qtd]],Desc_Quantidades,1),MATCH(_xlfn.XLOOKUP(TB_Vendas[[#This Row],[Código]],TB_Produtos[[#All],[Código]],TB_Produtos[[#All],[Categoria]]),Desc_Categorias,0))</f>
        <v>0.15</v>
      </c>
      <c r="J69" s="31">
        <f>_xlfn.XLOOKUP(TB_Vendas[[#This Row],[Vendedor]],Vendedores!$B$5:$B$9,Vendedores!$E$5:$E$9)</f>
        <v>0.15</v>
      </c>
      <c r="K69" s="31">
        <f>IF(TB_Vendas[[#This Row],[Desconto 
(Diretão)]]&lt;=TB_Vendas[[#This Row],[Desconto 
(Vendedor)]],TB_Vendas[[#This Row],[Desconto 
(Diretão)]],TB_Vendas[[#This Row],[Desconto 
(Vendedor)]])</f>
        <v>0.15</v>
      </c>
      <c r="L69" s="2">
        <f>TB_Vendas[[#This Row],[Preço Unitário]]*TB_Vendas[[#This Row],[Qtd]]</f>
        <v>79.8</v>
      </c>
      <c r="M69" s="1" t="s">
        <v>117</v>
      </c>
    </row>
    <row r="70" spans="1:13">
      <c r="A70" s="1">
        <f>MONTH(TB_Vendas[[#This Row],[Data]])</f>
        <v>7</v>
      </c>
      <c r="B70" s="3">
        <v>45124</v>
      </c>
      <c r="C70" s="4" t="s">
        <v>85</v>
      </c>
      <c r="D70" s="4" t="str">
        <f>_xlfn.XLOOKUP(TB_Vendas[[#This Row],[Código]],TB_Produtos[Código],TB_Produtos[Categoria])</f>
        <v>Vestuário</v>
      </c>
      <c r="E70" s="1">
        <v>7</v>
      </c>
      <c r="F70" s="7">
        <f>VLOOKUP(TB_Vendas[[#This Row],[Código]],Produtos!$B$6:$G$66,6,0)</f>
        <v>54.9</v>
      </c>
      <c r="G70" s="1">
        <f>_xlfn.XMATCH(TB_Vendas[[#This Row],[Categoria]],Desc_Categorias,0)</f>
        <v>3</v>
      </c>
      <c r="H70" s="31">
        <f>VLOOKUP(TB_Vendas[[#This Row],[Qtd]],Desc_TabelaToda,TB_Vendas[[#This Row],[Indice]],TRUE)</f>
        <v>0.25</v>
      </c>
      <c r="I70" s="31" cm="1">
        <f t="array" ref="I70">INDEX(Desc_TabelaToda,MATCH(TB_Vendas[[#This Row],[Qtd]],Desc_Quantidades,1),MATCH(_xlfn.XLOOKUP(TB_Vendas[[#This Row],[Código]],TB_Produtos[[#All],[Código]],TB_Produtos[[#All],[Categoria]]),Desc_Categorias,0))</f>
        <v>0.25</v>
      </c>
      <c r="J70" s="31">
        <f>_xlfn.XLOOKUP(TB_Vendas[[#This Row],[Vendedor]],Vendedores!$B$5:$B$9,Vendedores!$E$5:$E$9)</f>
        <v>0.2</v>
      </c>
      <c r="K70" s="31">
        <f>IF(TB_Vendas[[#This Row],[Desconto 
(Diretão)]]&lt;=TB_Vendas[[#This Row],[Desconto 
(Vendedor)]],TB_Vendas[[#This Row],[Desconto 
(Diretão)]],TB_Vendas[[#This Row],[Desconto 
(Vendedor)]])</f>
        <v>0.2</v>
      </c>
      <c r="L70" s="2">
        <f>TB_Vendas[[#This Row],[Preço Unitário]]*TB_Vendas[[#This Row],[Qtd]]</f>
        <v>384.3</v>
      </c>
      <c r="M70" s="1" t="s">
        <v>116</v>
      </c>
    </row>
    <row r="71" spans="1:13">
      <c r="A71" s="1">
        <f>MONTH(TB_Vendas[[#This Row],[Data]])</f>
        <v>7</v>
      </c>
      <c r="B71" s="3">
        <v>45130</v>
      </c>
      <c r="C71" s="4" t="s">
        <v>50</v>
      </c>
      <c r="D71" s="4" t="str">
        <f>_xlfn.XLOOKUP(TB_Vendas[[#This Row],[Código]],TB_Produtos[Código],TB_Produtos[Categoria])</f>
        <v>Vestuário</v>
      </c>
      <c r="E71" s="1">
        <v>4</v>
      </c>
      <c r="F71" s="7">
        <f>VLOOKUP(TB_Vendas[[#This Row],[Código]],Produtos!$B$6:$G$66,6,0)</f>
        <v>299.89999999999998</v>
      </c>
      <c r="G71" s="1">
        <f>_xlfn.XMATCH(TB_Vendas[[#This Row],[Categoria]],Desc_Categorias,0)</f>
        <v>3</v>
      </c>
      <c r="H71" s="31">
        <f>VLOOKUP(TB_Vendas[[#This Row],[Qtd]],Desc_TabelaToda,TB_Vendas[[#This Row],[Indice]],TRUE)</f>
        <v>0.2</v>
      </c>
      <c r="I71" s="31" cm="1">
        <f t="array" ref="I71">INDEX(Desc_TabelaToda,MATCH(TB_Vendas[[#This Row],[Qtd]],Desc_Quantidades,1),MATCH(_xlfn.XLOOKUP(TB_Vendas[[#This Row],[Código]],TB_Produtos[[#All],[Código]],TB_Produtos[[#All],[Categoria]]),Desc_Categorias,0))</f>
        <v>0.2</v>
      </c>
      <c r="J71" s="31">
        <f>_xlfn.XLOOKUP(TB_Vendas[[#This Row],[Vendedor]],Vendedores!$B$5:$B$9,Vendedores!$E$5:$E$9)</f>
        <v>0.15</v>
      </c>
      <c r="K71" s="31">
        <f>IF(TB_Vendas[[#This Row],[Desconto 
(Diretão)]]&lt;=TB_Vendas[[#This Row],[Desconto 
(Vendedor)]],TB_Vendas[[#This Row],[Desconto 
(Diretão)]],TB_Vendas[[#This Row],[Desconto 
(Vendedor)]])</f>
        <v>0.15</v>
      </c>
      <c r="L71" s="2">
        <f>TB_Vendas[[#This Row],[Preço Unitário]]*TB_Vendas[[#This Row],[Qtd]]</f>
        <v>1199.5999999999999</v>
      </c>
      <c r="M71" s="1" t="s">
        <v>117</v>
      </c>
    </row>
    <row r="72" spans="1:13">
      <c r="A72" s="1">
        <f>MONTH(TB_Vendas[[#This Row],[Data]])</f>
        <v>7</v>
      </c>
      <c r="B72" s="3">
        <v>45133</v>
      </c>
      <c r="C72" s="4" t="s">
        <v>54</v>
      </c>
      <c r="D72" s="4" t="str">
        <f>_xlfn.XLOOKUP(TB_Vendas[[#This Row],[Código]],TB_Produtos[Código],TB_Produtos[Categoria])</f>
        <v>Vestuário</v>
      </c>
      <c r="E72" s="1">
        <v>3</v>
      </c>
      <c r="F72" s="7">
        <f>VLOOKUP(TB_Vendas[[#This Row],[Código]],Produtos!$B$6:$G$66,6,0)</f>
        <v>259.89999999999998</v>
      </c>
      <c r="G72" s="1">
        <f>_xlfn.XMATCH(TB_Vendas[[#This Row],[Categoria]],Desc_Categorias,0)</f>
        <v>3</v>
      </c>
      <c r="H72" s="31">
        <f>VLOOKUP(TB_Vendas[[#This Row],[Qtd]],Desc_TabelaToda,TB_Vendas[[#This Row],[Indice]],TRUE)</f>
        <v>0.2</v>
      </c>
      <c r="I72" s="31" cm="1">
        <f t="array" ref="I72">INDEX(Desc_TabelaToda,MATCH(TB_Vendas[[#This Row],[Qtd]],Desc_Quantidades,1),MATCH(_xlfn.XLOOKUP(TB_Vendas[[#This Row],[Código]],TB_Produtos[[#All],[Código]],TB_Produtos[[#All],[Categoria]]),Desc_Categorias,0))</f>
        <v>0.2</v>
      </c>
      <c r="J72" s="31">
        <f>_xlfn.XLOOKUP(TB_Vendas[[#This Row],[Vendedor]],Vendedores!$B$5:$B$9,Vendedores!$E$5:$E$9)</f>
        <v>0.2</v>
      </c>
      <c r="K72" s="31">
        <f>IF(TB_Vendas[[#This Row],[Desconto 
(Diretão)]]&lt;=TB_Vendas[[#This Row],[Desconto 
(Vendedor)]],TB_Vendas[[#This Row],[Desconto 
(Diretão)]],TB_Vendas[[#This Row],[Desconto 
(Vendedor)]])</f>
        <v>0.2</v>
      </c>
      <c r="L72" s="2">
        <f>TB_Vendas[[#This Row],[Preço Unitário]]*TB_Vendas[[#This Row],[Qtd]]</f>
        <v>779.69999999999993</v>
      </c>
      <c r="M72" s="1" t="s">
        <v>116</v>
      </c>
    </row>
    <row r="73" spans="1:13">
      <c r="A73" s="1">
        <f>MONTH(TB_Vendas[[#This Row],[Data]])</f>
        <v>7</v>
      </c>
      <c r="B73" s="3">
        <v>45135</v>
      </c>
      <c r="C73" s="4" t="s">
        <v>88</v>
      </c>
      <c r="D73" s="4" t="str">
        <f>_xlfn.XLOOKUP(TB_Vendas[[#This Row],[Código]],TB_Produtos[Código],TB_Produtos[Categoria])</f>
        <v>Vestuário</v>
      </c>
      <c r="E73" s="1">
        <v>9</v>
      </c>
      <c r="F73" s="7">
        <f>VLOOKUP(TB_Vendas[[#This Row],[Código]],Produtos!$B$6:$G$66,6,0)</f>
        <v>72.5</v>
      </c>
      <c r="G73" s="1">
        <f>_xlfn.XMATCH(TB_Vendas[[#This Row],[Categoria]],Desc_Categorias,0)</f>
        <v>3</v>
      </c>
      <c r="H73" s="31">
        <f>VLOOKUP(TB_Vendas[[#This Row],[Qtd]],Desc_TabelaToda,TB_Vendas[[#This Row],[Indice]],TRUE)</f>
        <v>0.25</v>
      </c>
      <c r="I73" s="31" cm="1">
        <f t="array" ref="I73">INDEX(Desc_TabelaToda,MATCH(TB_Vendas[[#This Row],[Qtd]],Desc_Quantidades,1),MATCH(_xlfn.XLOOKUP(TB_Vendas[[#This Row],[Código]],TB_Produtos[[#All],[Código]],TB_Produtos[[#All],[Categoria]]),Desc_Categorias,0))</f>
        <v>0.25</v>
      </c>
      <c r="J73" s="31">
        <f>_xlfn.XLOOKUP(TB_Vendas[[#This Row],[Vendedor]],Vendedores!$B$5:$B$9,Vendedores!$E$5:$E$9)</f>
        <v>0.1</v>
      </c>
      <c r="K73" s="31">
        <f>IF(TB_Vendas[[#This Row],[Desconto 
(Diretão)]]&lt;=TB_Vendas[[#This Row],[Desconto 
(Vendedor)]],TB_Vendas[[#This Row],[Desconto 
(Diretão)]],TB_Vendas[[#This Row],[Desconto 
(Vendedor)]])</f>
        <v>0.1</v>
      </c>
      <c r="L73" s="2">
        <f>TB_Vendas[[#This Row],[Preço Unitário]]*TB_Vendas[[#This Row],[Qtd]]</f>
        <v>652.5</v>
      </c>
      <c r="M73" s="1" t="s">
        <v>115</v>
      </c>
    </row>
    <row r="74" spans="1:13">
      <c r="A74" s="1">
        <f>MONTH(TB_Vendas[[#This Row],[Data]])</f>
        <v>7</v>
      </c>
      <c r="B74" s="3">
        <v>45136</v>
      </c>
      <c r="C74" s="4" t="s">
        <v>52</v>
      </c>
      <c r="D74" s="4" t="str">
        <f>_xlfn.XLOOKUP(TB_Vendas[[#This Row],[Código]],TB_Produtos[Código],TB_Produtos[Categoria])</f>
        <v>Vestuário</v>
      </c>
      <c r="E74" s="1">
        <v>4</v>
      </c>
      <c r="F74" s="7">
        <f>VLOOKUP(TB_Vendas[[#This Row],[Código]],Produtos!$B$6:$G$66,6,0)</f>
        <v>300</v>
      </c>
      <c r="G74" s="1">
        <f>_xlfn.XMATCH(TB_Vendas[[#This Row],[Categoria]],Desc_Categorias,0)</f>
        <v>3</v>
      </c>
      <c r="H74" s="31">
        <f>VLOOKUP(TB_Vendas[[#This Row],[Qtd]],Desc_TabelaToda,TB_Vendas[[#This Row],[Indice]],TRUE)</f>
        <v>0.2</v>
      </c>
      <c r="I74" s="31" cm="1">
        <f t="array" ref="I74">INDEX(Desc_TabelaToda,MATCH(TB_Vendas[[#This Row],[Qtd]],Desc_Quantidades,1),MATCH(_xlfn.XLOOKUP(TB_Vendas[[#This Row],[Código]],TB_Produtos[[#All],[Código]],TB_Produtos[[#All],[Categoria]]),Desc_Categorias,0))</f>
        <v>0.2</v>
      </c>
      <c r="J74" s="31">
        <f>_xlfn.XLOOKUP(TB_Vendas[[#This Row],[Vendedor]],Vendedores!$B$5:$B$9,Vendedores!$E$5:$E$9)</f>
        <v>0.15</v>
      </c>
      <c r="K74" s="31">
        <f>IF(TB_Vendas[[#This Row],[Desconto 
(Diretão)]]&lt;=TB_Vendas[[#This Row],[Desconto 
(Vendedor)]],TB_Vendas[[#This Row],[Desconto 
(Diretão)]],TB_Vendas[[#This Row],[Desconto 
(Vendedor)]])</f>
        <v>0.15</v>
      </c>
      <c r="L74" s="2">
        <f>TB_Vendas[[#This Row],[Preço Unitário]]*TB_Vendas[[#This Row],[Qtd]]</f>
        <v>1200</v>
      </c>
      <c r="M74" s="1" t="s">
        <v>117</v>
      </c>
    </row>
    <row r="75" spans="1:13">
      <c r="A75" s="1">
        <f>MONTH(TB_Vendas[[#This Row],[Data]])</f>
        <v>7</v>
      </c>
      <c r="B75" s="3">
        <v>45137</v>
      </c>
      <c r="C75" s="4" t="s">
        <v>31</v>
      </c>
      <c r="D75" s="4" t="str">
        <f>_xlfn.XLOOKUP(TB_Vendas[[#This Row],[Código]],TB_Produtos[Código],TB_Produtos[Categoria])</f>
        <v>Vestuário</v>
      </c>
      <c r="E75" s="1">
        <v>9</v>
      </c>
      <c r="F75" s="7">
        <f>VLOOKUP(TB_Vendas[[#This Row],[Código]],Produtos!$B$6:$G$66,6,0)</f>
        <v>65.900000000000006</v>
      </c>
      <c r="G75" s="1">
        <f>_xlfn.XMATCH(TB_Vendas[[#This Row],[Categoria]],Desc_Categorias,0)</f>
        <v>3</v>
      </c>
      <c r="H75" s="31">
        <f>VLOOKUP(TB_Vendas[[#This Row],[Qtd]],Desc_TabelaToda,TB_Vendas[[#This Row],[Indice]],TRUE)</f>
        <v>0.25</v>
      </c>
      <c r="I75" s="31" cm="1">
        <f t="array" ref="I75">INDEX(Desc_TabelaToda,MATCH(TB_Vendas[[#This Row],[Qtd]],Desc_Quantidades,1),MATCH(_xlfn.XLOOKUP(TB_Vendas[[#This Row],[Código]],TB_Produtos[[#All],[Código]],TB_Produtos[[#All],[Categoria]]),Desc_Categorias,0))</f>
        <v>0.25</v>
      </c>
      <c r="J75" s="31">
        <f>_xlfn.XLOOKUP(TB_Vendas[[#This Row],[Vendedor]],Vendedores!$B$5:$B$9,Vendedores!$E$5:$E$9)</f>
        <v>0.15</v>
      </c>
      <c r="K75" s="31">
        <f>IF(TB_Vendas[[#This Row],[Desconto 
(Diretão)]]&lt;=TB_Vendas[[#This Row],[Desconto 
(Vendedor)]],TB_Vendas[[#This Row],[Desconto 
(Diretão)]],TB_Vendas[[#This Row],[Desconto 
(Vendedor)]])</f>
        <v>0.15</v>
      </c>
      <c r="L75" s="2">
        <f>TB_Vendas[[#This Row],[Preço Unitário]]*TB_Vendas[[#This Row],[Qtd]]</f>
        <v>593.1</v>
      </c>
      <c r="M75" s="1" t="s">
        <v>117</v>
      </c>
    </row>
    <row r="76" spans="1:13">
      <c r="A76" s="1">
        <f>MONTH(TB_Vendas[[#This Row],[Data]])</f>
        <v>8</v>
      </c>
      <c r="B76" s="3">
        <v>45143</v>
      </c>
      <c r="C76" s="4" t="s">
        <v>39</v>
      </c>
      <c r="D76" s="4" t="str">
        <f>_xlfn.XLOOKUP(TB_Vendas[[#This Row],[Código]],TB_Produtos[Código],TB_Produtos[Categoria])</f>
        <v>Vestuário</v>
      </c>
      <c r="E76" s="1">
        <v>10</v>
      </c>
      <c r="F76" s="7">
        <f>VLOOKUP(TB_Vendas[[#This Row],[Código]],Produtos!$B$6:$G$66,6,0)</f>
        <v>92.9</v>
      </c>
      <c r="G76" s="1">
        <f>_xlfn.XMATCH(TB_Vendas[[#This Row],[Categoria]],Desc_Categorias,0)</f>
        <v>3</v>
      </c>
      <c r="H76" s="31">
        <f>VLOOKUP(TB_Vendas[[#This Row],[Qtd]],Desc_TabelaToda,TB_Vendas[[#This Row],[Indice]],TRUE)</f>
        <v>0.3</v>
      </c>
      <c r="I76" s="31" cm="1">
        <f t="array" ref="I76">INDEX(Desc_TabelaToda,MATCH(TB_Vendas[[#This Row],[Qtd]],Desc_Quantidades,1),MATCH(_xlfn.XLOOKUP(TB_Vendas[[#This Row],[Código]],TB_Produtos[[#All],[Código]],TB_Produtos[[#All],[Categoria]]),Desc_Categorias,0))</f>
        <v>0.3</v>
      </c>
      <c r="J76" s="31">
        <f>_xlfn.XLOOKUP(TB_Vendas[[#This Row],[Vendedor]],Vendedores!$B$5:$B$9,Vendedores!$E$5:$E$9)</f>
        <v>0.15</v>
      </c>
      <c r="K76" s="31">
        <f>IF(TB_Vendas[[#This Row],[Desconto 
(Diretão)]]&lt;=TB_Vendas[[#This Row],[Desconto 
(Vendedor)]],TB_Vendas[[#This Row],[Desconto 
(Diretão)]],TB_Vendas[[#This Row],[Desconto 
(Vendedor)]])</f>
        <v>0.15</v>
      </c>
      <c r="L76" s="2">
        <f>TB_Vendas[[#This Row],[Preço Unitário]]*TB_Vendas[[#This Row],[Qtd]]</f>
        <v>929</v>
      </c>
      <c r="M76" s="1" t="s">
        <v>117</v>
      </c>
    </row>
    <row r="77" spans="1:13">
      <c r="A77" s="1">
        <f>MONTH(TB_Vendas[[#This Row],[Data]])</f>
        <v>8</v>
      </c>
      <c r="B77" s="3">
        <v>45144</v>
      </c>
      <c r="C77" s="4" t="s">
        <v>105</v>
      </c>
      <c r="D77" s="4" t="str">
        <f>_xlfn.XLOOKUP(TB_Vendas[[#This Row],[Código]],TB_Produtos[Código],TB_Produtos[Categoria])</f>
        <v>Calçado</v>
      </c>
      <c r="E77" s="1">
        <v>1</v>
      </c>
      <c r="F77" s="7">
        <f>VLOOKUP(TB_Vendas[[#This Row],[Código]],Produtos!$B$6:$G$66,6,0)</f>
        <v>89.9</v>
      </c>
      <c r="G77" s="1">
        <f>_xlfn.XMATCH(TB_Vendas[[#This Row],[Categoria]],Desc_Categorias,0)</f>
        <v>4</v>
      </c>
      <c r="H77" s="31">
        <f>VLOOKUP(TB_Vendas[[#This Row],[Qtd]],Desc_TabelaToda,TB_Vendas[[#This Row],[Indice]],TRUE)</f>
        <v>0</v>
      </c>
      <c r="I77" s="31" cm="1">
        <f t="array" ref="I77">INDEX(Desc_TabelaToda,MATCH(TB_Vendas[[#This Row],[Qtd]],Desc_Quantidades,1),MATCH(_xlfn.XLOOKUP(TB_Vendas[[#This Row],[Código]],TB_Produtos[[#All],[Código]],TB_Produtos[[#All],[Categoria]]),Desc_Categorias,0))</f>
        <v>0</v>
      </c>
      <c r="J77" s="31">
        <f>_xlfn.XLOOKUP(TB_Vendas[[#This Row],[Vendedor]],Vendedores!$B$5:$B$9,Vendedores!$E$5:$E$9)</f>
        <v>0.1</v>
      </c>
      <c r="K77" s="31">
        <f>IF(TB_Vendas[[#This Row],[Desconto 
(Diretão)]]&lt;=TB_Vendas[[#This Row],[Desconto 
(Vendedor)]],TB_Vendas[[#This Row],[Desconto 
(Diretão)]],TB_Vendas[[#This Row],[Desconto 
(Vendedor)]])</f>
        <v>0</v>
      </c>
      <c r="L77" s="2">
        <f>TB_Vendas[[#This Row],[Preço Unitário]]*TB_Vendas[[#This Row],[Qtd]]</f>
        <v>89.9</v>
      </c>
      <c r="M77" s="1" t="s">
        <v>115</v>
      </c>
    </row>
    <row r="78" spans="1:13">
      <c r="A78" s="1">
        <f>MONTH(TB_Vendas[[#This Row],[Data]])</f>
        <v>8</v>
      </c>
      <c r="B78" s="3">
        <v>45145</v>
      </c>
      <c r="C78" s="4" t="s">
        <v>98</v>
      </c>
      <c r="D78" s="4" t="str">
        <f>_xlfn.XLOOKUP(TB_Vendas[[#This Row],[Código]],TB_Produtos[Código],TB_Produtos[Categoria])</f>
        <v>Vestuário</v>
      </c>
      <c r="E78" s="1">
        <v>2</v>
      </c>
      <c r="F78" s="7">
        <f>VLOOKUP(TB_Vendas[[#This Row],[Código]],Produtos!$B$6:$G$66,6,0)</f>
        <v>49.9</v>
      </c>
      <c r="G78" s="1">
        <f>_xlfn.XMATCH(TB_Vendas[[#This Row],[Categoria]],Desc_Categorias,0)</f>
        <v>3</v>
      </c>
      <c r="H78" s="31">
        <f>VLOOKUP(TB_Vendas[[#This Row],[Qtd]],Desc_TabelaToda,TB_Vendas[[#This Row],[Indice]],TRUE)</f>
        <v>0.15</v>
      </c>
      <c r="I78" s="31" cm="1">
        <f t="array" ref="I78">INDEX(Desc_TabelaToda,MATCH(TB_Vendas[[#This Row],[Qtd]],Desc_Quantidades,1),MATCH(_xlfn.XLOOKUP(TB_Vendas[[#This Row],[Código]],TB_Produtos[[#All],[Código]],TB_Produtos[[#All],[Categoria]]),Desc_Categorias,0))</f>
        <v>0.15</v>
      </c>
      <c r="J78" s="31">
        <f>_xlfn.XLOOKUP(TB_Vendas[[#This Row],[Vendedor]],Vendedores!$B$5:$B$9,Vendedores!$E$5:$E$9)</f>
        <v>0.1</v>
      </c>
      <c r="K78" s="31">
        <f>IF(TB_Vendas[[#This Row],[Desconto 
(Diretão)]]&lt;=TB_Vendas[[#This Row],[Desconto 
(Vendedor)]],TB_Vendas[[#This Row],[Desconto 
(Diretão)]],TB_Vendas[[#This Row],[Desconto 
(Vendedor)]])</f>
        <v>0.1</v>
      </c>
      <c r="L78" s="2">
        <f>TB_Vendas[[#This Row],[Preço Unitário]]*TB_Vendas[[#This Row],[Qtd]]</f>
        <v>99.8</v>
      </c>
      <c r="M78" s="1" t="s">
        <v>115</v>
      </c>
    </row>
    <row r="79" spans="1:13">
      <c r="A79" s="1">
        <f>MONTH(TB_Vendas[[#This Row],[Data]])</f>
        <v>8</v>
      </c>
      <c r="B79" s="3">
        <v>45146</v>
      </c>
      <c r="C79" s="4" t="s">
        <v>83</v>
      </c>
      <c r="D79" s="4" t="str">
        <f>_xlfn.XLOOKUP(TB_Vendas[[#This Row],[Código]],TB_Produtos[Código],TB_Produtos[Categoria])</f>
        <v>Vestuário</v>
      </c>
      <c r="E79" s="1">
        <v>8</v>
      </c>
      <c r="F79" s="7">
        <f>VLOOKUP(TB_Vendas[[#This Row],[Código]],Produtos!$B$6:$G$66,6,0)</f>
        <v>70</v>
      </c>
      <c r="G79" s="1">
        <f>_xlfn.XMATCH(TB_Vendas[[#This Row],[Categoria]],Desc_Categorias,0)</f>
        <v>3</v>
      </c>
      <c r="H79" s="31">
        <f>VLOOKUP(TB_Vendas[[#This Row],[Qtd]],Desc_TabelaToda,TB_Vendas[[#This Row],[Indice]],TRUE)</f>
        <v>0.25</v>
      </c>
      <c r="I79" s="31" cm="1">
        <f t="array" ref="I79">INDEX(Desc_TabelaToda,MATCH(TB_Vendas[[#This Row],[Qtd]],Desc_Quantidades,1),MATCH(_xlfn.XLOOKUP(TB_Vendas[[#This Row],[Código]],TB_Produtos[[#All],[Código]],TB_Produtos[[#All],[Categoria]]),Desc_Categorias,0))</f>
        <v>0.25</v>
      </c>
      <c r="J79" s="31">
        <f>_xlfn.XLOOKUP(TB_Vendas[[#This Row],[Vendedor]],Vendedores!$B$5:$B$9,Vendedores!$E$5:$E$9)</f>
        <v>0.15</v>
      </c>
      <c r="K79" s="31">
        <f>IF(TB_Vendas[[#This Row],[Desconto 
(Diretão)]]&lt;=TB_Vendas[[#This Row],[Desconto 
(Vendedor)]],TB_Vendas[[#This Row],[Desconto 
(Diretão)]],TB_Vendas[[#This Row],[Desconto 
(Vendedor)]])</f>
        <v>0.15</v>
      </c>
      <c r="L79" s="2">
        <f>TB_Vendas[[#This Row],[Preço Unitário]]*TB_Vendas[[#This Row],[Qtd]]</f>
        <v>560</v>
      </c>
      <c r="M79" s="1" t="s">
        <v>114</v>
      </c>
    </row>
    <row r="80" spans="1:13">
      <c r="A80" s="1">
        <f>MONTH(TB_Vendas[[#This Row],[Data]])</f>
        <v>8</v>
      </c>
      <c r="B80" s="3">
        <v>45147</v>
      </c>
      <c r="C80" s="4" t="s">
        <v>41</v>
      </c>
      <c r="D80" s="4" t="str">
        <f>_xlfn.XLOOKUP(TB_Vendas[[#This Row],[Código]],TB_Produtos[Código],TB_Produtos[Categoria])</f>
        <v>Vestuário</v>
      </c>
      <c r="E80" s="1">
        <v>5</v>
      </c>
      <c r="F80" s="7">
        <f>VLOOKUP(TB_Vendas[[#This Row],[Código]],Produtos!$B$6:$G$66,6,0)</f>
        <v>46.9</v>
      </c>
      <c r="G80" s="1">
        <f>_xlfn.XMATCH(TB_Vendas[[#This Row],[Categoria]],Desc_Categorias,0)</f>
        <v>3</v>
      </c>
      <c r="H80" s="31">
        <f>VLOOKUP(TB_Vendas[[#This Row],[Qtd]],Desc_TabelaToda,TB_Vendas[[#This Row],[Indice]],TRUE)</f>
        <v>0.25</v>
      </c>
      <c r="I80" s="31" cm="1">
        <f t="array" ref="I80">INDEX(Desc_TabelaToda,MATCH(TB_Vendas[[#This Row],[Qtd]],Desc_Quantidades,1),MATCH(_xlfn.XLOOKUP(TB_Vendas[[#This Row],[Código]],TB_Produtos[[#All],[Código]],TB_Produtos[[#All],[Categoria]]),Desc_Categorias,0))</f>
        <v>0.25</v>
      </c>
      <c r="J80" s="31">
        <f>_xlfn.XLOOKUP(TB_Vendas[[#This Row],[Vendedor]],Vendedores!$B$5:$B$9,Vendedores!$E$5:$E$9)</f>
        <v>0.1</v>
      </c>
      <c r="K80" s="31">
        <f>IF(TB_Vendas[[#This Row],[Desconto 
(Diretão)]]&lt;=TB_Vendas[[#This Row],[Desconto 
(Vendedor)]],TB_Vendas[[#This Row],[Desconto 
(Diretão)]],TB_Vendas[[#This Row],[Desconto 
(Vendedor)]])</f>
        <v>0.1</v>
      </c>
      <c r="L80" s="2">
        <f>TB_Vendas[[#This Row],[Preço Unitário]]*TB_Vendas[[#This Row],[Qtd]]</f>
        <v>234.5</v>
      </c>
      <c r="M80" s="1" t="s">
        <v>115</v>
      </c>
    </row>
    <row r="81" spans="1:13">
      <c r="A81" s="1">
        <f>MONTH(TB_Vendas[[#This Row],[Data]])</f>
        <v>8</v>
      </c>
      <c r="B81" s="3">
        <v>45148</v>
      </c>
      <c r="C81" s="4" t="s">
        <v>92</v>
      </c>
      <c r="D81" s="4" t="str">
        <f>_xlfn.XLOOKUP(TB_Vendas[[#This Row],[Código]],TB_Produtos[Código],TB_Produtos[Categoria])</f>
        <v>Vestuário</v>
      </c>
      <c r="E81" s="1">
        <v>10</v>
      </c>
      <c r="F81" s="7">
        <f>VLOOKUP(TB_Vendas[[#This Row],[Código]],Produtos!$B$6:$G$66,6,0)</f>
        <v>289.89999999999998</v>
      </c>
      <c r="G81" s="1">
        <f>_xlfn.XMATCH(TB_Vendas[[#This Row],[Categoria]],Desc_Categorias,0)</f>
        <v>3</v>
      </c>
      <c r="H81" s="31">
        <f>VLOOKUP(TB_Vendas[[#This Row],[Qtd]],Desc_TabelaToda,TB_Vendas[[#This Row],[Indice]],TRUE)</f>
        <v>0.3</v>
      </c>
      <c r="I81" s="31" cm="1">
        <f t="array" ref="I81">INDEX(Desc_TabelaToda,MATCH(TB_Vendas[[#This Row],[Qtd]],Desc_Quantidades,1),MATCH(_xlfn.XLOOKUP(TB_Vendas[[#This Row],[Código]],TB_Produtos[[#All],[Código]],TB_Produtos[[#All],[Categoria]]),Desc_Categorias,0))</f>
        <v>0.3</v>
      </c>
      <c r="J81" s="31">
        <f>_xlfn.XLOOKUP(TB_Vendas[[#This Row],[Vendedor]],Vendedores!$B$5:$B$9,Vendedores!$E$5:$E$9)</f>
        <v>0.15</v>
      </c>
      <c r="K81" s="31">
        <f>IF(TB_Vendas[[#This Row],[Desconto 
(Diretão)]]&lt;=TB_Vendas[[#This Row],[Desconto 
(Vendedor)]],TB_Vendas[[#This Row],[Desconto 
(Diretão)]],TB_Vendas[[#This Row],[Desconto 
(Vendedor)]])</f>
        <v>0.15</v>
      </c>
      <c r="L81" s="2">
        <f>TB_Vendas[[#This Row],[Preço Unitário]]*TB_Vendas[[#This Row],[Qtd]]</f>
        <v>2899</v>
      </c>
      <c r="M81" s="1" t="s">
        <v>114</v>
      </c>
    </row>
    <row r="82" spans="1:13">
      <c r="A82" s="1">
        <f>MONTH(TB_Vendas[[#This Row],[Data]])</f>
        <v>8</v>
      </c>
      <c r="B82" s="3">
        <v>45149</v>
      </c>
      <c r="C82" s="4" t="s">
        <v>45</v>
      </c>
      <c r="D82" s="4" t="str">
        <f>_xlfn.XLOOKUP(TB_Vendas[[#This Row],[Código]],TB_Produtos[Código],TB_Produtos[Categoria])</f>
        <v>Vestuário</v>
      </c>
      <c r="E82" s="1">
        <v>1</v>
      </c>
      <c r="F82" s="7">
        <f>VLOOKUP(TB_Vendas[[#This Row],[Código]],Produtos!$B$6:$G$66,6,0)</f>
        <v>42.5</v>
      </c>
      <c r="G82" s="1">
        <f>_xlfn.XMATCH(TB_Vendas[[#This Row],[Categoria]],Desc_Categorias,0)</f>
        <v>3</v>
      </c>
      <c r="H82" s="31">
        <f>VLOOKUP(TB_Vendas[[#This Row],[Qtd]],Desc_TabelaToda,TB_Vendas[[#This Row],[Indice]],TRUE)</f>
        <v>0.1</v>
      </c>
      <c r="I82" s="31" cm="1">
        <f t="array" ref="I82">INDEX(Desc_TabelaToda,MATCH(TB_Vendas[[#This Row],[Qtd]],Desc_Quantidades,1),MATCH(_xlfn.XLOOKUP(TB_Vendas[[#This Row],[Código]],TB_Produtos[[#All],[Código]],TB_Produtos[[#All],[Categoria]]),Desc_Categorias,0))</f>
        <v>0.1</v>
      </c>
      <c r="J82" s="31">
        <f>_xlfn.XLOOKUP(TB_Vendas[[#This Row],[Vendedor]],Vendedores!$B$5:$B$9,Vendedores!$E$5:$E$9)</f>
        <v>0.1</v>
      </c>
      <c r="K82" s="31">
        <f>IF(TB_Vendas[[#This Row],[Desconto 
(Diretão)]]&lt;=TB_Vendas[[#This Row],[Desconto 
(Vendedor)]],TB_Vendas[[#This Row],[Desconto 
(Diretão)]],TB_Vendas[[#This Row],[Desconto 
(Vendedor)]])</f>
        <v>0.1</v>
      </c>
      <c r="L82" s="2">
        <f>TB_Vendas[[#This Row],[Preço Unitário]]*TB_Vendas[[#This Row],[Qtd]]</f>
        <v>42.5</v>
      </c>
      <c r="M82" s="1" t="s">
        <v>115</v>
      </c>
    </row>
    <row r="83" spans="1:13">
      <c r="A83" s="1">
        <f>MONTH(TB_Vendas[[#This Row],[Data]])</f>
        <v>8</v>
      </c>
      <c r="B83" s="3">
        <v>45150</v>
      </c>
      <c r="C83" s="4" t="s">
        <v>102</v>
      </c>
      <c r="D83" s="4" t="str">
        <f>_xlfn.XLOOKUP(TB_Vendas[[#This Row],[Código]],TB_Produtos[Código],TB_Produtos[Categoria])</f>
        <v>Calçado</v>
      </c>
      <c r="E83" s="1">
        <v>2</v>
      </c>
      <c r="F83" s="7">
        <f>VLOOKUP(TB_Vendas[[#This Row],[Código]],Produtos!$B$6:$G$66,6,0)</f>
        <v>89.9</v>
      </c>
      <c r="G83" s="1">
        <f>_xlfn.XMATCH(TB_Vendas[[#This Row],[Categoria]],Desc_Categorias,0)</f>
        <v>4</v>
      </c>
      <c r="H83" s="31">
        <f>VLOOKUP(TB_Vendas[[#This Row],[Qtd]],Desc_TabelaToda,TB_Vendas[[#This Row],[Indice]],TRUE)</f>
        <v>0.1</v>
      </c>
      <c r="I83" s="31" cm="1">
        <f t="array" ref="I83">INDEX(Desc_TabelaToda,MATCH(TB_Vendas[[#This Row],[Qtd]],Desc_Quantidades,1),MATCH(_xlfn.XLOOKUP(TB_Vendas[[#This Row],[Código]],TB_Produtos[[#All],[Código]],TB_Produtos[[#All],[Categoria]]),Desc_Categorias,0))</f>
        <v>0.1</v>
      </c>
      <c r="J83" s="31">
        <f>_xlfn.XLOOKUP(TB_Vendas[[#This Row],[Vendedor]],Vendedores!$B$5:$B$9,Vendedores!$E$5:$E$9)</f>
        <v>0.15</v>
      </c>
      <c r="K83" s="31">
        <f>IF(TB_Vendas[[#This Row],[Desconto 
(Diretão)]]&lt;=TB_Vendas[[#This Row],[Desconto 
(Vendedor)]],TB_Vendas[[#This Row],[Desconto 
(Diretão)]],TB_Vendas[[#This Row],[Desconto 
(Vendedor)]])</f>
        <v>0.1</v>
      </c>
      <c r="L83" s="2">
        <f>TB_Vendas[[#This Row],[Preço Unitário]]*TB_Vendas[[#This Row],[Qtd]]</f>
        <v>179.8</v>
      </c>
      <c r="M83" s="1" t="s">
        <v>114</v>
      </c>
    </row>
    <row r="84" spans="1:13">
      <c r="A84" s="1">
        <f>MONTH(TB_Vendas[[#This Row],[Data]])</f>
        <v>8</v>
      </c>
      <c r="B84" s="3">
        <v>45151</v>
      </c>
      <c r="C84" s="4" t="s">
        <v>59</v>
      </c>
      <c r="D84" s="4" t="str">
        <f>_xlfn.XLOOKUP(TB_Vendas[[#This Row],[Código]],TB_Produtos[Código],TB_Produtos[Categoria])</f>
        <v>Calçado</v>
      </c>
      <c r="E84" s="1">
        <v>3</v>
      </c>
      <c r="F84" s="7">
        <f>VLOOKUP(TB_Vendas[[#This Row],[Código]],Produtos!$B$6:$G$66,6,0)</f>
        <v>255</v>
      </c>
      <c r="G84" s="1">
        <f>_xlfn.XMATCH(TB_Vendas[[#This Row],[Categoria]],Desc_Categorias,0)</f>
        <v>4</v>
      </c>
      <c r="H84" s="31">
        <f>VLOOKUP(TB_Vendas[[#This Row],[Qtd]],Desc_TabelaToda,TB_Vendas[[#This Row],[Indice]],TRUE)</f>
        <v>0.15</v>
      </c>
      <c r="I84" s="31" cm="1">
        <f t="array" ref="I84">INDEX(Desc_TabelaToda,MATCH(TB_Vendas[[#This Row],[Qtd]],Desc_Quantidades,1),MATCH(_xlfn.XLOOKUP(TB_Vendas[[#This Row],[Código]],TB_Produtos[[#All],[Código]],TB_Produtos[[#All],[Categoria]]),Desc_Categorias,0))</f>
        <v>0.15</v>
      </c>
      <c r="J84" s="31">
        <f>_xlfn.XLOOKUP(TB_Vendas[[#This Row],[Vendedor]],Vendedores!$B$5:$B$9,Vendedores!$E$5:$E$9)</f>
        <v>0.2</v>
      </c>
      <c r="K84" s="31">
        <f>IF(TB_Vendas[[#This Row],[Desconto 
(Diretão)]]&lt;=TB_Vendas[[#This Row],[Desconto 
(Vendedor)]],TB_Vendas[[#This Row],[Desconto 
(Diretão)]],TB_Vendas[[#This Row],[Desconto 
(Vendedor)]])</f>
        <v>0.15</v>
      </c>
      <c r="L84" s="2">
        <f>TB_Vendas[[#This Row],[Preço Unitário]]*TB_Vendas[[#This Row],[Qtd]]</f>
        <v>765</v>
      </c>
      <c r="M84" s="1" t="s">
        <v>113</v>
      </c>
    </row>
    <row r="85" spans="1:13">
      <c r="A85" s="1">
        <f>MONTH(TB_Vendas[[#This Row],[Data]])</f>
        <v>8</v>
      </c>
      <c r="B85" s="3">
        <v>45152</v>
      </c>
      <c r="C85" s="4" t="s">
        <v>45</v>
      </c>
      <c r="D85" s="4" t="str">
        <f>_xlfn.XLOOKUP(TB_Vendas[[#This Row],[Código]],TB_Produtos[Código],TB_Produtos[Categoria])</f>
        <v>Vestuário</v>
      </c>
      <c r="E85" s="1">
        <v>6</v>
      </c>
      <c r="F85" s="7">
        <f>VLOOKUP(TB_Vendas[[#This Row],[Código]],Produtos!$B$6:$G$66,6,0)</f>
        <v>42.5</v>
      </c>
      <c r="G85" s="1">
        <f>_xlfn.XMATCH(TB_Vendas[[#This Row],[Categoria]],Desc_Categorias,0)</f>
        <v>3</v>
      </c>
      <c r="H85" s="31">
        <f>VLOOKUP(TB_Vendas[[#This Row],[Qtd]],Desc_TabelaToda,TB_Vendas[[#This Row],[Indice]],TRUE)</f>
        <v>0.25</v>
      </c>
      <c r="I85" s="31" cm="1">
        <f t="array" ref="I85">INDEX(Desc_TabelaToda,MATCH(TB_Vendas[[#This Row],[Qtd]],Desc_Quantidades,1),MATCH(_xlfn.XLOOKUP(TB_Vendas[[#This Row],[Código]],TB_Produtos[[#All],[Código]],TB_Produtos[[#All],[Categoria]]),Desc_Categorias,0))</f>
        <v>0.25</v>
      </c>
      <c r="J85" s="31">
        <f>_xlfn.XLOOKUP(TB_Vendas[[#This Row],[Vendedor]],Vendedores!$B$5:$B$9,Vendedores!$E$5:$E$9)</f>
        <v>0.2</v>
      </c>
      <c r="K85" s="31">
        <f>IF(TB_Vendas[[#This Row],[Desconto 
(Diretão)]]&lt;=TB_Vendas[[#This Row],[Desconto 
(Vendedor)]],TB_Vendas[[#This Row],[Desconto 
(Diretão)]],TB_Vendas[[#This Row],[Desconto 
(Vendedor)]])</f>
        <v>0.2</v>
      </c>
      <c r="L85" s="2">
        <f>TB_Vendas[[#This Row],[Preço Unitário]]*TB_Vendas[[#This Row],[Qtd]]</f>
        <v>255</v>
      </c>
      <c r="M85" s="1" t="s">
        <v>116</v>
      </c>
    </row>
    <row r="86" spans="1:13">
      <c r="A86" s="1">
        <f>MONTH(TB_Vendas[[#This Row],[Data]])</f>
        <v>8</v>
      </c>
      <c r="B86" s="3">
        <v>45153</v>
      </c>
      <c r="C86" s="4" t="s">
        <v>44</v>
      </c>
      <c r="D86" s="4" t="str">
        <f>_xlfn.XLOOKUP(TB_Vendas[[#This Row],[Código]],TB_Produtos[Código],TB_Produtos[Categoria])</f>
        <v>Vestuário</v>
      </c>
      <c r="E86" s="1">
        <v>8</v>
      </c>
      <c r="F86" s="7">
        <f>VLOOKUP(TB_Vendas[[#This Row],[Código]],Produtos!$B$6:$G$66,6,0)</f>
        <v>39.9</v>
      </c>
      <c r="G86" s="1">
        <f>_xlfn.XMATCH(TB_Vendas[[#This Row],[Categoria]],Desc_Categorias,0)</f>
        <v>3</v>
      </c>
      <c r="H86" s="31">
        <f>VLOOKUP(TB_Vendas[[#This Row],[Qtd]],Desc_TabelaToda,TB_Vendas[[#This Row],[Indice]],TRUE)</f>
        <v>0.25</v>
      </c>
      <c r="I86" s="31" cm="1">
        <f t="array" ref="I86">INDEX(Desc_TabelaToda,MATCH(TB_Vendas[[#This Row],[Qtd]],Desc_Quantidades,1),MATCH(_xlfn.XLOOKUP(TB_Vendas[[#This Row],[Código]],TB_Produtos[[#All],[Código]],TB_Produtos[[#All],[Categoria]]),Desc_Categorias,0))</f>
        <v>0.25</v>
      </c>
      <c r="J86" s="31">
        <f>_xlfn.XLOOKUP(TB_Vendas[[#This Row],[Vendedor]],Vendedores!$B$5:$B$9,Vendedores!$E$5:$E$9)</f>
        <v>0.15</v>
      </c>
      <c r="K86" s="31">
        <f>IF(TB_Vendas[[#This Row],[Desconto 
(Diretão)]]&lt;=TB_Vendas[[#This Row],[Desconto 
(Vendedor)]],TB_Vendas[[#This Row],[Desconto 
(Diretão)]],TB_Vendas[[#This Row],[Desconto 
(Vendedor)]])</f>
        <v>0.15</v>
      </c>
      <c r="L86" s="2">
        <f>TB_Vendas[[#This Row],[Preço Unitário]]*TB_Vendas[[#This Row],[Qtd]]</f>
        <v>319.2</v>
      </c>
      <c r="M86" s="1" t="s">
        <v>114</v>
      </c>
    </row>
  </sheetData>
  <phoneticPr fontId="11" type="noConversion"/>
  <conditionalFormatting sqref="E4:K4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ColWidth="8.88671875" defaultRowHeight="14.4" zeroHeight="1"/>
  <cols>
    <col min="1" max="1" width="8.88671875" customWidth="1"/>
    <col min="2" max="2" width="21.88671875" customWidth="1"/>
    <col min="3" max="3" width="31.77734375" customWidth="1"/>
    <col min="4" max="4" width="11.6640625" customWidth="1"/>
    <col min="5" max="5" width="21.88671875" customWidth="1"/>
    <col min="6" max="6" width="26.33203125" customWidth="1"/>
    <col min="7" max="9" width="8.88671875" customWidth="1"/>
  </cols>
  <sheetData>
    <row r="1" spans="1:9" s="13" customFormat="1" ht="40.200000000000003" customHeight="1">
      <c r="A1" s="16"/>
      <c r="B1" s="20" t="s">
        <v>131</v>
      </c>
      <c r="C1" s="18"/>
      <c r="D1" s="18"/>
      <c r="E1" s="18"/>
      <c r="F1" s="18"/>
      <c r="G1" s="18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33" customHeight="1">
      <c r="A4" s="15"/>
      <c r="B4" s="92" t="s">
        <v>140</v>
      </c>
      <c r="C4" s="92"/>
      <c r="D4" s="15"/>
      <c r="E4" s="92" t="s">
        <v>147</v>
      </c>
      <c r="F4" s="92"/>
    </row>
    <row r="5" spans="1:9" ht="5.25" customHeight="1" thickBot="1">
      <c r="E5" s="24"/>
      <c r="F5" s="24"/>
    </row>
    <row r="6" spans="1:9" ht="24.6" customHeight="1" thickBot="1">
      <c r="B6" s="43" t="s">
        <v>141</v>
      </c>
      <c r="C6" s="47" t="s">
        <v>102</v>
      </c>
      <c r="E6" s="43" t="s">
        <v>146</v>
      </c>
      <c r="F6" s="52">
        <v>44949</v>
      </c>
    </row>
    <row r="7" spans="1:9" ht="24.6" customHeight="1" thickTop="1" thickBot="1">
      <c r="B7" s="43" t="s">
        <v>142</v>
      </c>
      <c r="C7" s="48" t="str">
        <f>IFERROR(VLOOKUP(C6,TB_Produtos[#All],2,FALSE),"")</f>
        <v>Sandália Rasteira</v>
      </c>
      <c r="E7" s="43" t="s">
        <v>149</v>
      </c>
      <c r="F7" s="48" t="str">
        <f>_xlfn.XLOOKUP(WEEKDAY(F6),'Cadastros Auxiliares'!$B$4:$I$4,'Cadastros Auxiliares'!$B$5:$I$5,"")</f>
        <v>Segunda-feira</v>
      </c>
      <c r="G7" s="21"/>
    </row>
    <row r="8" spans="1:9" ht="24.6" customHeight="1" thickTop="1" thickBot="1">
      <c r="B8" s="44" t="s">
        <v>143</v>
      </c>
      <c r="C8" s="49" cm="1">
        <f t="array" ref="C8">_xlfn.XLOOKUP(C6,TB_Produtos[[#All],[Código]],TB_Produtos[[#All],[Tamanho]],"")</f>
        <v>35</v>
      </c>
      <c r="E8" s="44" t="s">
        <v>150</v>
      </c>
      <c r="F8" s="50">
        <f>SUMIF(TB_Vendas[[#All],[Data]],Consultas!$F$6,TB_Vendas[[#All],[Total]])</f>
        <v>146</v>
      </c>
      <c r="G8" s="21"/>
    </row>
    <row r="9" spans="1:9" ht="24.6" customHeight="1" thickTop="1" thickBot="1">
      <c r="B9" s="45" t="s">
        <v>144</v>
      </c>
      <c r="C9" s="49" t="str">
        <f>IFERROR(VLOOKUP($C$6,Produtos!$B$6:$G$66,4,0),"")</f>
        <v>Calçado</v>
      </c>
      <c r="E9" s="46" t="s">
        <v>148</v>
      </c>
      <c r="F9" s="53">
        <f>SUMIF(TB_Vendas[[#All],[Data]],Consultas!$F$6,TB_Vendas[[#All],[Qtd]])</f>
        <v>1</v>
      </c>
      <c r="G9" s="21"/>
    </row>
    <row r="10" spans="1:9" ht="24.6" customHeight="1" thickTop="1" thickBot="1">
      <c r="B10" s="45" t="s">
        <v>151</v>
      </c>
      <c r="C10" s="50">
        <f>_xlfn.XLOOKUP($C$6,Produtos!$B$6:$B$66,Produtos!$G$6:$G$66,"")</f>
        <v>89.9</v>
      </c>
      <c r="G10" s="21"/>
    </row>
    <row r="11" spans="1:9" ht="24.6" customHeight="1" thickTop="1" thickBot="1">
      <c r="B11" s="44" t="s">
        <v>145</v>
      </c>
      <c r="C11" s="49" cm="1">
        <f t="array" ref="C11">_xlfn.XLOOKUP($C$6,TB_Produtos[[#All],[Código]],TB_Produtos[[#All],[Estoque]],"")</f>
        <v>48</v>
      </c>
      <c r="G11" s="21"/>
    </row>
    <row r="12" spans="1:9" ht="22.8" thickTop="1" thickBot="1">
      <c r="B12" s="45" t="s">
        <v>152</v>
      </c>
      <c r="C12" s="49" t="str" cm="1">
        <f t="array" ref="C12">_xlfn.IFS(C11=0,"Estoque Zerado",C11&gt;=C13,"Estoque OK",1,"Rever Estoque")</f>
        <v>Estoque OK</v>
      </c>
      <c r="E12" s="32"/>
    </row>
    <row r="13" spans="1:9" ht="24.6" thickTop="1" thickBot="1">
      <c r="B13" s="46" t="s">
        <v>154</v>
      </c>
      <c r="C13" s="51">
        <f>_xlfn.XLOOKUP(C9,'Cadastros Auxiliares'!G9:G11,'Cadastros Auxiliares'!H9:H11)</f>
        <v>15</v>
      </c>
      <c r="E13" s="33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  <x14:dataValidation type="list" allowBlank="1" showInputMessage="1" showErrorMessage="1" xr:uid="{D14864B3-67D5-45F6-83BC-59307DFC7664}">
          <x14:formula1>
            <xm:f>Vendas!$B:$B</xm:f>
          </x14:formula1>
          <xm:sqref>F6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D423-48AC-46DF-AA57-B1CDE55AEBCA}">
  <sheetPr>
    <tabColor rgb="FFEE6471"/>
  </sheetPr>
  <dimension ref="A1:AL13"/>
  <sheetViews>
    <sheetView tabSelected="1" zoomScaleNormal="100" workbookViewId="0">
      <selection activeCell="D16" sqref="D16"/>
    </sheetView>
  </sheetViews>
  <sheetFormatPr defaultRowHeight="14.4"/>
  <cols>
    <col min="1" max="1" width="20" bestFit="1" customWidth="1"/>
    <col min="2" max="2" width="15.6640625" bestFit="1" customWidth="1"/>
    <col min="3" max="3" width="21" bestFit="1" customWidth="1"/>
    <col min="4" max="4" width="5.21875" bestFit="1" customWidth="1"/>
    <col min="5" max="5" width="17.21875" bestFit="1" customWidth="1"/>
    <col min="6" max="6" width="20.5546875" bestFit="1" customWidth="1"/>
    <col min="7" max="13" width="5.21875" bestFit="1" customWidth="1"/>
    <col min="14" max="14" width="3.21875" bestFit="1" customWidth="1"/>
    <col min="15" max="21" width="5.21875" bestFit="1" customWidth="1"/>
    <col min="22" max="23" width="4.109375" bestFit="1" customWidth="1"/>
    <col min="24" max="24" width="6.33203125" bestFit="1" customWidth="1"/>
    <col min="25" max="28" width="4.109375" bestFit="1" customWidth="1"/>
    <col min="29" max="29" width="6.33203125" bestFit="1" customWidth="1"/>
    <col min="30" max="31" width="4.109375" bestFit="1" customWidth="1"/>
    <col min="32" max="34" width="6.33203125" bestFit="1" customWidth="1"/>
    <col min="35" max="35" width="4.109375" bestFit="1" customWidth="1"/>
    <col min="36" max="37" width="6.33203125" bestFit="1" customWidth="1"/>
    <col min="38" max="38" width="10" bestFit="1" customWidth="1"/>
    <col min="39" max="39" width="16" bestFit="1" customWidth="1"/>
    <col min="40" max="40" width="17.33203125" bestFit="1" customWidth="1"/>
    <col min="41" max="41" width="19.77734375" bestFit="1" customWidth="1"/>
    <col min="42" max="42" width="12.77734375" bestFit="1" customWidth="1"/>
    <col min="43" max="43" width="15.109375" bestFit="1" customWidth="1"/>
    <col min="44" max="44" width="14.21875" bestFit="1" customWidth="1"/>
    <col min="45" max="45" width="16.5546875" bestFit="1" customWidth="1"/>
    <col min="46" max="46" width="14.21875" bestFit="1" customWidth="1"/>
    <col min="47" max="47" width="16.6640625" bestFit="1" customWidth="1"/>
    <col min="48" max="48" width="14.5546875" bestFit="1" customWidth="1"/>
    <col min="49" max="49" width="16.88671875" bestFit="1" customWidth="1"/>
    <col min="50" max="50" width="14.5546875" bestFit="1" customWidth="1"/>
    <col min="51" max="51" width="16.88671875" bestFit="1" customWidth="1"/>
    <col min="52" max="52" width="10" bestFit="1" customWidth="1"/>
  </cols>
  <sheetData>
    <row r="1" spans="1:38" ht="48.6" customHeight="1"/>
    <row r="3" spans="1:38" s="60" customFormat="1">
      <c r="A3" s="59" t="s">
        <v>160</v>
      </c>
      <c r="B3" t="s">
        <v>163</v>
      </c>
      <c r="C3" s="60" t="s">
        <v>161</v>
      </c>
      <c r="D3"/>
      <c r="E3" s="56" t="s">
        <v>160</v>
      </c>
      <c r="F3" t="s">
        <v>165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38" s="60" customFormat="1">
      <c r="A4" s="57" t="s">
        <v>13</v>
      </c>
      <c r="B4" s="58">
        <v>159</v>
      </c>
      <c r="C4" s="8">
        <v>964.59999999999991</v>
      </c>
      <c r="D4"/>
      <c r="E4" s="57" t="s">
        <v>13</v>
      </c>
      <c r="F4" s="58">
        <v>6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>
      <c r="A5" s="61" t="s">
        <v>29</v>
      </c>
      <c r="B5" s="58">
        <v>36</v>
      </c>
      <c r="C5" s="8">
        <v>145</v>
      </c>
      <c r="E5" s="57" t="s">
        <v>14</v>
      </c>
      <c r="F5" s="58">
        <v>9</v>
      </c>
    </row>
    <row r="6" spans="1:38">
      <c r="A6" s="61" t="s">
        <v>28</v>
      </c>
      <c r="B6" s="58">
        <v>21</v>
      </c>
      <c r="C6" s="8">
        <v>259.89999999999998</v>
      </c>
      <c r="E6" s="57" t="s">
        <v>12</v>
      </c>
      <c r="F6" s="58">
        <v>45</v>
      </c>
    </row>
    <row r="7" spans="1:38">
      <c r="A7" s="61" t="s">
        <v>6</v>
      </c>
      <c r="B7" s="58">
        <v>23</v>
      </c>
      <c r="C7" s="8">
        <v>39.9</v>
      </c>
      <c r="E7" s="57" t="s">
        <v>162</v>
      </c>
      <c r="F7" s="58">
        <v>60</v>
      </c>
    </row>
    <row r="8" spans="1:38">
      <c r="A8" s="61" t="s">
        <v>7</v>
      </c>
      <c r="B8" s="58">
        <v>2</v>
      </c>
      <c r="C8" s="8">
        <v>49.9</v>
      </c>
    </row>
    <row r="9" spans="1:38">
      <c r="A9" s="61" t="s">
        <v>20</v>
      </c>
      <c r="B9" s="58">
        <v>32</v>
      </c>
      <c r="C9" s="8">
        <v>349.9</v>
      </c>
    </row>
    <row r="10" spans="1:38">
      <c r="A10" s="61" t="s">
        <v>19</v>
      </c>
      <c r="B10" s="58">
        <v>45</v>
      </c>
      <c r="C10" s="8">
        <v>120</v>
      </c>
    </row>
    <row r="11" spans="1:38">
      <c r="A11" s="57" t="s">
        <v>14</v>
      </c>
      <c r="B11" s="58">
        <v>350</v>
      </c>
      <c r="C11" s="8">
        <v>1789.4</v>
      </c>
    </row>
    <row r="12" spans="1:38">
      <c r="A12" s="57" t="s">
        <v>12</v>
      </c>
      <c r="B12" s="58">
        <v>1482</v>
      </c>
      <c r="C12" s="8">
        <v>5298.699999999998</v>
      </c>
    </row>
    <row r="13" spans="1:38">
      <c r="A13" s="57" t="s">
        <v>162</v>
      </c>
      <c r="B13" s="58">
        <v>1991</v>
      </c>
      <c r="C13" s="8">
        <v>8052.699999999998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2658-C8D7-4959-BB1E-9564AFE159E6}">
  <sheetPr>
    <tabColor rgb="FFEE6471"/>
  </sheetPr>
  <dimension ref="A1:N12"/>
  <sheetViews>
    <sheetView zoomScale="130" zoomScaleNormal="130" workbookViewId="0">
      <selection activeCell="I14" sqref="I14"/>
    </sheetView>
  </sheetViews>
  <sheetFormatPr defaultRowHeight="14.4"/>
  <cols>
    <col min="1" max="1" width="16.77734375" bestFit="1" customWidth="1"/>
    <col min="2" max="2" width="11.5546875" bestFit="1" customWidth="1"/>
    <col min="3" max="3" width="13.44140625" bestFit="1" customWidth="1"/>
    <col min="4" max="4" width="5.5546875" customWidth="1"/>
    <col min="5" max="5" width="3.77734375" customWidth="1"/>
    <col min="6" max="6" width="17.21875" bestFit="1" customWidth="1"/>
    <col min="7" max="7" width="11" bestFit="1" customWidth="1"/>
    <col min="8" max="8" width="10.109375" bestFit="1" customWidth="1"/>
    <col min="9" max="9" width="13.44140625" bestFit="1" customWidth="1"/>
    <col min="10" max="10" width="3.88671875" customWidth="1"/>
    <col min="11" max="11" width="12.77734375" customWidth="1"/>
    <col min="12" max="13" width="8.5546875" customWidth="1"/>
    <col min="14" max="14" width="3.5546875" customWidth="1"/>
    <col min="15" max="77" width="19" bestFit="1" customWidth="1"/>
    <col min="78" max="78" width="10.21875" bestFit="1" customWidth="1"/>
  </cols>
  <sheetData>
    <row r="1" spans="1:14" ht="15" thickBot="1"/>
    <row r="2" spans="1:14" ht="15" thickBot="1">
      <c r="E2" s="79"/>
      <c r="F2" s="80"/>
      <c r="G2" s="80"/>
      <c r="H2" s="80"/>
      <c r="I2" s="80"/>
      <c r="J2" s="80"/>
      <c r="K2" s="80"/>
      <c r="L2" s="80"/>
      <c r="M2" s="80"/>
      <c r="N2" s="81"/>
    </row>
    <row r="3" spans="1:14" ht="15" thickBot="1">
      <c r="A3" s="56" t="s">
        <v>160</v>
      </c>
      <c r="B3" t="s">
        <v>164</v>
      </c>
      <c r="C3" t="s">
        <v>174</v>
      </c>
      <c r="E3" s="71"/>
      <c r="F3" s="82" t="s">
        <v>160</v>
      </c>
      <c r="G3" s="83" t="s">
        <v>175</v>
      </c>
      <c r="H3" s="83" t="s">
        <v>176</v>
      </c>
      <c r="I3" s="83" t="s">
        <v>174</v>
      </c>
      <c r="J3" s="83"/>
      <c r="K3" s="93" t="s">
        <v>177</v>
      </c>
      <c r="L3" s="94"/>
      <c r="M3" s="95"/>
      <c r="N3" s="84"/>
    </row>
    <row r="4" spans="1:14">
      <c r="A4" s="57" t="s">
        <v>166</v>
      </c>
      <c r="B4" s="58">
        <v>14</v>
      </c>
      <c r="C4" s="8">
        <v>1750.9</v>
      </c>
      <c r="D4" s="8"/>
      <c r="E4" s="71"/>
      <c r="F4" s="85" t="s">
        <v>13</v>
      </c>
      <c r="G4" s="86">
        <v>0.15879092503182729</v>
      </c>
      <c r="H4" s="86">
        <v>-0.84120907496817265</v>
      </c>
      <c r="I4" s="87">
        <v>5288.5</v>
      </c>
      <c r="J4" s="83"/>
      <c r="K4" s="73" t="str">
        <f>F4</f>
        <v>Acessórios</v>
      </c>
      <c r="L4" s="74">
        <f>GETPIVOTDATA("[Measures].[%Catedogia]",$F$3,"[TB_Vendas].[Categoria]","[TB_Vendas].[Categoria].&amp;[Acessórios]")</f>
        <v>0.15879092503182729</v>
      </c>
      <c r="M4" s="75">
        <f>GETPIVOTDATA("[Measures].[%Restante]",$F$3,"[TB_Vendas].[Categoria]","[TB_Vendas].[Categoria].&amp;[Acessórios]")</f>
        <v>-0.84120907496817265</v>
      </c>
      <c r="N4" s="84"/>
    </row>
    <row r="5" spans="1:14">
      <c r="A5" s="57" t="s">
        <v>167</v>
      </c>
      <c r="B5" s="58">
        <v>15</v>
      </c>
      <c r="C5" s="8">
        <v>2974.9</v>
      </c>
      <c r="D5" s="8"/>
      <c r="E5" s="71"/>
      <c r="F5" s="85" t="s">
        <v>14</v>
      </c>
      <c r="G5" s="86">
        <v>0.10835675338089411</v>
      </c>
      <c r="H5" s="86">
        <v>-0.89164324661910588</v>
      </c>
      <c r="I5" s="87">
        <v>3608.8000000000006</v>
      </c>
      <c r="J5" s="83"/>
      <c r="K5" s="73" t="str">
        <f>F5</f>
        <v>Calçado</v>
      </c>
      <c r="L5" s="74">
        <f>GETPIVOTDATA("[Measures].[%Catedogia]",$F$3,"[TB_Vendas].[Categoria]","[TB_Vendas].[Categoria].&amp;[Calçado]")</f>
        <v>0.10835675338089411</v>
      </c>
      <c r="M5" s="75">
        <f>GETPIVOTDATA("[Measures].[%Restante]",$F$3,"[TB_Vendas].[Categoria]","[TB_Vendas].[Categoria].&amp;[Calçado]")</f>
        <v>-0.89164324661910588</v>
      </c>
      <c r="N5" s="84"/>
    </row>
    <row r="6" spans="1:14" ht="15" thickBot="1">
      <c r="A6" s="57" t="s">
        <v>168</v>
      </c>
      <c r="B6" s="58">
        <v>26</v>
      </c>
      <c r="C6" s="8">
        <v>3698.1</v>
      </c>
      <c r="D6" s="8"/>
      <c r="E6" s="71"/>
      <c r="F6" s="85" t="s">
        <v>12</v>
      </c>
      <c r="G6" s="86">
        <v>0.73285232158727887</v>
      </c>
      <c r="H6" s="86">
        <v>-0.26714767841272113</v>
      </c>
      <c r="I6" s="87">
        <v>24407.499999999996</v>
      </c>
      <c r="J6" s="83"/>
      <c r="K6" s="76" t="str">
        <f>F6</f>
        <v>Vestuário</v>
      </c>
      <c r="L6" s="77">
        <f>GETPIVOTDATA("[Measures].[%Catedogia]",$F$3,"[TB_Vendas].[Categoria]","[TB_Vendas].[Categoria].&amp;[Vestuário]")</f>
        <v>0.73285232158727887</v>
      </c>
      <c r="M6" s="78">
        <f>GETPIVOTDATA("[Measures].[%Restante]",$F$3,"[TB_Vendas].[Categoria]","[TB_Vendas].[Categoria].&amp;[Vestuário]")</f>
        <v>-0.26714767841272113</v>
      </c>
      <c r="N6" s="84"/>
    </row>
    <row r="7" spans="1:14">
      <c r="A7" s="57" t="s">
        <v>169</v>
      </c>
      <c r="B7" s="58">
        <v>28</v>
      </c>
      <c r="C7" s="8">
        <v>3651.0999999999995</v>
      </c>
      <c r="D7" s="8"/>
      <c r="E7" s="71"/>
      <c r="F7" s="85" t="s">
        <v>162</v>
      </c>
      <c r="G7" s="86">
        <v>1</v>
      </c>
      <c r="H7" s="86">
        <v>0</v>
      </c>
      <c r="I7" s="87">
        <v>33304.799999999988</v>
      </c>
      <c r="J7" s="83"/>
      <c r="K7" s="83"/>
      <c r="L7" s="83"/>
      <c r="M7" s="83"/>
      <c r="N7" s="84"/>
    </row>
    <row r="8" spans="1:14" ht="15" thickBot="1">
      <c r="A8" s="57" t="s">
        <v>170</v>
      </c>
      <c r="B8" s="58">
        <v>17</v>
      </c>
      <c r="C8" s="8">
        <v>2776.2999999999997</v>
      </c>
      <c r="D8" s="8"/>
      <c r="E8" s="72"/>
      <c r="F8" s="88"/>
      <c r="G8" s="88"/>
      <c r="H8" s="88"/>
      <c r="I8" s="88"/>
      <c r="J8" s="88"/>
      <c r="K8" s="88"/>
      <c r="L8" s="88"/>
      <c r="M8" s="88"/>
      <c r="N8" s="89"/>
    </row>
    <row r="9" spans="1:14">
      <c r="A9" s="57" t="s">
        <v>171</v>
      </c>
      <c r="B9" s="58">
        <v>41</v>
      </c>
      <c r="C9" s="8">
        <v>3477.7000000000007</v>
      </c>
      <c r="D9" s="8"/>
    </row>
    <row r="10" spans="1:14">
      <c r="A10" s="57" t="s">
        <v>172</v>
      </c>
      <c r="B10" s="58">
        <v>53</v>
      </c>
      <c r="C10" s="8">
        <v>8602.0999999999985</v>
      </c>
      <c r="D10" s="8"/>
    </row>
    <row r="11" spans="1:14">
      <c r="A11" s="57" t="s">
        <v>173</v>
      </c>
      <c r="B11" s="58">
        <v>56</v>
      </c>
      <c r="C11" s="8">
        <v>6373.7</v>
      </c>
      <c r="D11" s="8"/>
    </row>
    <row r="12" spans="1:14">
      <c r="A12" s="57" t="s">
        <v>162</v>
      </c>
      <c r="B12" s="58">
        <v>250</v>
      </c>
      <c r="C12" s="8">
        <v>33304.799999999988</v>
      </c>
      <c r="D12" s="8"/>
    </row>
  </sheetData>
  <mergeCells count="1">
    <mergeCell ref="K3:M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4.4"/>
  <cols>
    <col min="1" max="1" width="8" customWidth="1"/>
    <col min="2" max="2" width="30.88671875" customWidth="1"/>
    <col min="3" max="9" width="17.44140625" customWidth="1"/>
  </cols>
  <sheetData>
    <row r="1" spans="2:10" s="13" customFormat="1" ht="40.200000000000003" customHeight="1">
      <c r="B1" s="29" t="s">
        <v>122</v>
      </c>
      <c r="C1" s="20"/>
      <c r="D1" s="20"/>
      <c r="E1" s="20"/>
      <c r="F1" s="20"/>
      <c r="G1" s="20"/>
      <c r="H1" s="20"/>
      <c r="I1" s="18"/>
      <c r="J1" s="18"/>
    </row>
    <row r="2" spans="2:10" s="14" customFormat="1" ht="4.5" customHeight="1">
      <c r="B2" s="17"/>
      <c r="C2" s="17"/>
      <c r="D2" s="17"/>
      <c r="E2" s="17"/>
      <c r="F2" s="17"/>
      <c r="G2" s="17"/>
    </row>
    <row r="3" spans="2:10" ht="4.5" customHeight="1" thickBot="1">
      <c r="B3" s="15"/>
      <c r="C3" s="15"/>
      <c r="D3" s="15"/>
      <c r="E3" s="15"/>
      <c r="F3" s="15"/>
      <c r="G3" s="15"/>
    </row>
    <row r="4" spans="2:10" ht="22.2" thickBot="1">
      <c r="B4" s="10" t="s">
        <v>30</v>
      </c>
      <c r="C4" s="11">
        <v>1</v>
      </c>
      <c r="D4" s="12">
        <v>2</v>
      </c>
      <c r="E4" s="11">
        <v>3</v>
      </c>
      <c r="F4" s="12">
        <v>4</v>
      </c>
      <c r="G4" s="11">
        <v>5</v>
      </c>
      <c r="H4" s="12">
        <v>6</v>
      </c>
      <c r="I4" s="11">
        <v>7</v>
      </c>
    </row>
    <row r="5" spans="2:10" s="24" customFormat="1" ht="22.2" thickBot="1">
      <c r="B5" s="22" t="s">
        <v>123</v>
      </c>
      <c r="C5" s="23" t="s">
        <v>124</v>
      </c>
      <c r="D5" s="23" t="s">
        <v>125</v>
      </c>
      <c r="E5" s="23" t="s">
        <v>126</v>
      </c>
      <c r="F5" s="23" t="s">
        <v>127</v>
      </c>
      <c r="G5" s="23" t="s">
        <v>128</v>
      </c>
      <c r="H5" s="23" t="s">
        <v>129</v>
      </c>
      <c r="I5" s="23" t="s">
        <v>130</v>
      </c>
    </row>
    <row r="7" spans="2:10" ht="15" thickBot="1"/>
    <row r="8" spans="2:10" ht="43.8" thickBot="1">
      <c r="B8" s="26" t="s">
        <v>139</v>
      </c>
      <c r="C8" s="27" t="s">
        <v>13</v>
      </c>
      <c r="D8" s="27" t="s">
        <v>12</v>
      </c>
      <c r="E8" s="27" t="s">
        <v>14</v>
      </c>
      <c r="G8" s="34" t="s">
        <v>10</v>
      </c>
      <c r="H8" s="35" t="s">
        <v>153</v>
      </c>
    </row>
    <row r="9" spans="2:10" ht="17.399999999999999" thickBot="1">
      <c r="B9" s="23">
        <v>1</v>
      </c>
      <c r="C9" s="25">
        <v>0</v>
      </c>
      <c r="D9" s="25">
        <v>0.1</v>
      </c>
      <c r="E9" s="28">
        <v>0</v>
      </c>
      <c r="G9" s="23" t="s">
        <v>13</v>
      </c>
      <c r="H9" s="36">
        <v>5</v>
      </c>
    </row>
    <row r="10" spans="2:10" ht="17.399999999999999" thickBot="1">
      <c r="B10" s="23">
        <v>2</v>
      </c>
      <c r="C10" s="25">
        <v>0.05</v>
      </c>
      <c r="D10" s="25">
        <v>0.15</v>
      </c>
      <c r="E10" s="28">
        <v>0.1</v>
      </c>
      <c r="G10" s="23" t="s">
        <v>12</v>
      </c>
      <c r="H10" s="36">
        <v>10</v>
      </c>
    </row>
    <row r="11" spans="2:10" ht="17.399999999999999" thickBot="1">
      <c r="B11" s="23">
        <v>3</v>
      </c>
      <c r="C11" s="25">
        <v>0.15</v>
      </c>
      <c r="D11" s="25">
        <v>0.2</v>
      </c>
      <c r="E11" s="28">
        <v>0.15</v>
      </c>
      <c r="G11" s="23" t="s">
        <v>14</v>
      </c>
      <c r="H11" s="36">
        <v>15</v>
      </c>
    </row>
    <row r="12" spans="2:10" ht="17.399999999999999" thickBot="1">
      <c r="B12" s="23">
        <v>5</v>
      </c>
      <c r="C12" s="25">
        <v>0.25</v>
      </c>
      <c r="D12" s="25">
        <v>0.25</v>
      </c>
      <c r="E12" s="28">
        <v>0.25</v>
      </c>
    </row>
    <row r="13" spans="2:10" ht="17.399999999999999" thickBot="1">
      <c r="B13" s="23">
        <v>10</v>
      </c>
      <c r="C13" s="25">
        <v>0.3</v>
      </c>
      <c r="D13" s="25">
        <v>0.3</v>
      </c>
      <c r="E13" s="28">
        <v>0.3</v>
      </c>
      <c r="G13" s="30"/>
    </row>
    <row r="15" spans="2:10" ht="23.4">
      <c r="B15" s="33"/>
      <c r="C15" s="33"/>
      <c r="D15" s="33"/>
      <c r="E15" s="33"/>
      <c r="F15" s="33"/>
    </row>
    <row r="16" spans="2:10" ht="23.4">
      <c r="B16" s="33"/>
      <c r="C16" s="33"/>
      <c r="D16" s="33"/>
      <c r="E16" s="33"/>
      <c r="F16" s="33"/>
    </row>
    <row r="17" spans="2:6" ht="23.4">
      <c r="B17" s="33"/>
      <c r="C17" s="33"/>
      <c r="D17" s="42"/>
      <c r="E17" s="33"/>
      <c r="F17" s="33"/>
    </row>
    <row r="18" spans="2:6" ht="23.4">
      <c r="B18" s="33"/>
      <c r="C18" s="33"/>
      <c r="D18" s="33"/>
      <c r="E18" s="33"/>
      <c r="F18" s="42"/>
    </row>
    <row r="19" spans="2:6" ht="23.4">
      <c r="B19" s="33"/>
      <c r="C19" s="33"/>
      <c r="D19" s="33"/>
      <c r="E19" s="33"/>
      <c r="F19" s="33"/>
    </row>
    <row r="20" spans="2:6" ht="23.4">
      <c r="B20" s="33"/>
      <c r="C20" s="33"/>
      <c r="D20" s="33"/>
      <c r="E20" s="33"/>
      <c r="F20" s="33"/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166C-EE5D-424E-97BF-F42EDD215599}">
  <sheetPr>
    <tabColor rgb="FFEE6471"/>
  </sheetPr>
  <dimension ref="A3:B9"/>
  <sheetViews>
    <sheetView zoomScale="140" zoomScaleNormal="140" workbookViewId="0">
      <selection activeCell="A4" sqref="A4"/>
    </sheetView>
  </sheetViews>
  <sheetFormatPr defaultRowHeight="14.4"/>
  <cols>
    <col min="1" max="1" width="16.77734375" bestFit="1" customWidth="1"/>
    <col min="2" max="2" width="13.5546875" bestFit="1" customWidth="1"/>
    <col min="3" max="3" width="6.77734375" bestFit="1" customWidth="1"/>
    <col min="4" max="4" width="10.44140625" bestFit="1" customWidth="1"/>
  </cols>
  <sheetData>
    <row r="3" spans="1:2">
      <c r="A3" s="56" t="s">
        <v>160</v>
      </c>
      <c r="B3" t="s">
        <v>174</v>
      </c>
    </row>
    <row r="4" spans="1:2">
      <c r="A4" s="57" t="s">
        <v>70</v>
      </c>
      <c r="B4" s="8">
        <v>3259.7000000000003</v>
      </c>
    </row>
    <row r="5" spans="1:2">
      <c r="A5" s="57" t="s">
        <v>119</v>
      </c>
      <c r="B5" s="8">
        <v>6552.6</v>
      </c>
    </row>
    <row r="6" spans="1:2">
      <c r="A6" s="57" t="s">
        <v>118</v>
      </c>
      <c r="B6" s="8">
        <v>6811.2</v>
      </c>
    </row>
    <row r="7" spans="1:2">
      <c r="A7" s="57" t="s">
        <v>73</v>
      </c>
      <c r="B7" s="8">
        <v>8079.7</v>
      </c>
    </row>
    <row r="8" spans="1:2">
      <c r="A8" s="57" t="s">
        <v>71</v>
      </c>
      <c r="B8" s="8">
        <v>8601.5999999999985</v>
      </c>
    </row>
    <row r="9" spans="1:2">
      <c r="A9" s="57" t="s">
        <v>162</v>
      </c>
      <c r="B9" s="8">
        <v>33304.799999999988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G46"/>
  <sheetViews>
    <sheetView showGridLines="0" showRowColHeaders="0" zoomScale="115" zoomScaleNormal="115" workbookViewId="0">
      <selection activeCell="CG19" sqref="CG19"/>
    </sheetView>
  </sheetViews>
  <sheetFormatPr defaultColWidth="2" defaultRowHeight="9.75" customHeight="1"/>
  <cols>
    <col min="1" max="16384" width="2" style="5"/>
  </cols>
  <sheetData>
    <row r="1" spans="3:80" ht="9.75" customHeight="1" thickBot="1"/>
    <row r="2" spans="3:80" ht="9.75" customHeight="1">
      <c r="W2" s="96" t="s">
        <v>76</v>
      </c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8"/>
      <c r="AQ2" s="96" t="s">
        <v>77</v>
      </c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8"/>
      <c r="BK2" s="96" t="s">
        <v>78</v>
      </c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8"/>
    </row>
    <row r="3" spans="3:80" ht="9.75" customHeight="1" thickBot="1"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1"/>
      <c r="AQ3" s="99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1"/>
      <c r="BK3" s="99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1"/>
    </row>
    <row r="4" spans="3:80" ht="9.75" customHeight="1">
      <c r="W4" s="111">
        <f>GETPIVOTDATA("Produtos",DN_Produtos!$E$3)</f>
        <v>60</v>
      </c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3"/>
      <c r="AQ4" s="120">
        <f>GETPIVOTDATA("[Measures].[Soma de Qtd]",DN_Vendas!$A$3)</f>
        <v>250</v>
      </c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2"/>
      <c r="BK4" s="129">
        <f>GETPIVOTDATA("[Measures].[Soma de Total]",DN_Vendas!$A$3)</f>
        <v>33304.799999999988</v>
      </c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1"/>
    </row>
    <row r="5" spans="3:80" ht="9.75" customHeight="1">
      <c r="W5" s="114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6"/>
      <c r="AQ5" s="123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5"/>
      <c r="BK5" s="132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4"/>
    </row>
    <row r="6" spans="3:80" ht="9.75" customHeight="1">
      <c r="W6" s="114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6"/>
      <c r="AQ6" s="123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5"/>
      <c r="BK6" s="132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4"/>
    </row>
    <row r="7" spans="3:80" ht="9.75" customHeight="1" thickBot="1">
      <c r="W7" s="117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9"/>
      <c r="AQ7" s="126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8"/>
      <c r="BK7" s="135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7"/>
    </row>
    <row r="8" spans="3:80" ht="9.75" customHeight="1" thickBot="1"/>
    <row r="9" spans="3:80" ht="9.75" customHeight="1">
      <c r="C9" s="96" t="s">
        <v>79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8"/>
    </row>
    <row r="10" spans="3:80" ht="9.75" customHeight="1" thickBot="1">
      <c r="C10" s="99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1"/>
    </row>
    <row r="11" spans="3:80" ht="9.75" customHeight="1">
      <c r="C11" s="102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4"/>
    </row>
    <row r="12" spans="3:80" ht="9.75" customHeight="1">
      <c r="C12" s="105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7"/>
    </row>
    <row r="13" spans="3:80" ht="9.75" customHeight="1">
      <c r="C13" s="105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7"/>
    </row>
    <row r="14" spans="3:80" ht="9.75" customHeight="1">
      <c r="C14" s="105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7"/>
    </row>
    <row r="15" spans="3:80" ht="9.75" customHeight="1">
      <c r="C15" s="105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7"/>
    </row>
    <row r="16" spans="3:80" ht="9.75" customHeight="1">
      <c r="C16" s="105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7"/>
    </row>
    <row r="17" spans="3:85" ht="9.75" customHeight="1">
      <c r="C17" s="105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7"/>
    </row>
    <row r="18" spans="3:85" ht="9.75" customHeight="1">
      <c r="C18" s="105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7"/>
    </row>
    <row r="19" spans="3:85" ht="9.75" customHeight="1">
      <c r="C19" s="105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7"/>
      <c r="CG19" s="138"/>
    </row>
    <row r="20" spans="3:85" ht="9.75" customHeight="1">
      <c r="C20" s="105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7"/>
    </row>
    <row r="21" spans="3:85" ht="9.75" customHeight="1">
      <c r="C21" s="105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7"/>
    </row>
    <row r="22" spans="3:85" ht="9.75" customHeight="1">
      <c r="C22" s="105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7"/>
    </row>
    <row r="23" spans="3:85" ht="9.75" customHeight="1">
      <c r="C23" s="105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7"/>
    </row>
    <row r="24" spans="3:85" ht="9.75" customHeight="1" thickBot="1">
      <c r="C24" s="108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/>
      <c r="BU24" s="109"/>
      <c r="BV24" s="109"/>
      <c r="BW24" s="109"/>
      <c r="BX24" s="109"/>
      <c r="BY24" s="109"/>
      <c r="BZ24" s="109"/>
      <c r="CA24" s="109"/>
      <c r="CB24" s="110"/>
    </row>
    <row r="25" spans="3:85" ht="9.75" customHeight="1" thickBot="1"/>
    <row r="26" spans="3:85" ht="9.75" customHeight="1">
      <c r="C26" s="96" t="s">
        <v>80</v>
      </c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8"/>
      <c r="AO26" s="6"/>
      <c r="AP26" s="6"/>
      <c r="AQ26" s="96" t="s">
        <v>81</v>
      </c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8"/>
    </row>
    <row r="27" spans="3:85" ht="9.75" customHeight="1" thickBot="1">
      <c r="C27" s="99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1"/>
      <c r="AO27" s="6"/>
      <c r="AP27" s="6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1"/>
    </row>
    <row r="28" spans="3:85" ht="9.75" customHeight="1">
      <c r="C28" s="102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4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4"/>
    </row>
    <row r="29" spans="3:85" ht="9.75" customHeight="1">
      <c r="C29" s="105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7"/>
      <c r="AQ29" s="105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7"/>
    </row>
    <row r="30" spans="3:85" ht="9.75" customHeight="1">
      <c r="C30" s="105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7"/>
      <c r="AQ30" s="105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7"/>
    </row>
    <row r="31" spans="3:85" ht="9.75" customHeight="1"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7"/>
      <c r="AQ31" s="105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7"/>
    </row>
    <row r="32" spans="3:85" ht="9.75" customHeight="1"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7"/>
      <c r="AQ32" s="105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7"/>
    </row>
    <row r="33" spans="3:80" ht="9.75" customHeight="1"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7"/>
      <c r="AQ33" s="105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7"/>
    </row>
    <row r="34" spans="3:80" ht="9.75" customHeight="1"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7"/>
      <c r="AQ34" s="105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7"/>
    </row>
    <row r="35" spans="3:80" ht="9.75" customHeight="1"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7"/>
      <c r="AQ35" s="105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7"/>
    </row>
    <row r="36" spans="3:80" ht="9.75" customHeight="1"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7"/>
      <c r="AQ36" s="105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7"/>
    </row>
    <row r="37" spans="3:80" ht="9.75" customHeight="1"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7"/>
      <c r="AQ37" s="105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7"/>
    </row>
    <row r="38" spans="3:80" ht="9.75" customHeight="1">
      <c r="C38" s="105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7"/>
      <c r="AQ38" s="105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7"/>
    </row>
    <row r="39" spans="3:80" ht="9.75" customHeight="1">
      <c r="C39" s="105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7"/>
      <c r="AQ39" s="105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7"/>
    </row>
    <row r="40" spans="3:80" ht="9.75" customHeight="1">
      <c r="C40" s="105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7"/>
      <c r="AQ40" s="105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7"/>
    </row>
    <row r="41" spans="3:80" ht="9.75" customHeight="1">
      <c r="C41" s="105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7"/>
      <c r="AQ41" s="105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7"/>
    </row>
    <row r="42" spans="3:80" ht="9.75" customHeight="1">
      <c r="C42" s="105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7"/>
      <c r="AQ42" s="105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7"/>
    </row>
    <row r="43" spans="3:80" ht="9.75" customHeight="1">
      <c r="C43" s="105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Q43" s="105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7"/>
    </row>
    <row r="44" spans="3:80" ht="9.75" customHeight="1">
      <c r="C44" s="105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7"/>
      <c r="AQ44" s="105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  <c r="BX44" s="106"/>
      <c r="BY44" s="106"/>
      <c r="BZ44" s="106"/>
      <c r="CA44" s="106"/>
      <c r="CB44" s="107"/>
    </row>
    <row r="45" spans="3:80" ht="9.75" customHeight="1">
      <c r="C45" s="105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7"/>
      <c r="AQ45" s="105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  <c r="BU45" s="106"/>
      <c r="BV45" s="106"/>
      <c r="BW45" s="106"/>
      <c r="BX45" s="106"/>
      <c r="BY45" s="106"/>
      <c r="BZ45" s="106"/>
      <c r="CA45" s="106"/>
      <c r="CB45" s="107"/>
    </row>
    <row r="46" spans="3:80" ht="9.75" customHeight="1" thickBot="1">
      <c r="C46" s="108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10"/>
      <c r="AQ46" s="108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10"/>
    </row>
  </sheetData>
  <sheetProtection selectLockedCells="1"/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3EC6CA16-9DBC-432D-AED0-904ED0D6914D}">
  <ds:schemaRefs/>
</ds:datastoreItem>
</file>

<file path=customXml/itemProps2.xml><?xml version="1.0" encoding="utf-8"?>
<ds:datastoreItem xmlns:ds="http://schemas.openxmlformats.org/officeDocument/2006/customXml" ds:itemID="{1C802127-EE29-4F62-A36C-41FF91865EC5}">
  <ds:schemaRefs/>
</ds:datastoreItem>
</file>

<file path=customXml/itemProps3.xml><?xml version="1.0" encoding="utf-8"?>
<ds:datastoreItem xmlns:ds="http://schemas.openxmlformats.org/officeDocument/2006/customXml" ds:itemID="{ED4A05D6-623C-42E8-A142-20457A4DBF76}">
  <ds:schemaRefs/>
</ds:datastoreItem>
</file>

<file path=customXml/itemProps4.xml><?xml version="1.0" encoding="utf-8"?>
<ds:datastoreItem xmlns:ds="http://schemas.openxmlformats.org/officeDocument/2006/customXml" ds:itemID="{CBE3E585-6A65-4C70-A5A5-8D9A6C5B4E84}">
  <ds:schemaRefs/>
</ds:datastoreItem>
</file>

<file path=customXml/itemProps5.xml><?xml version="1.0" encoding="utf-8"?>
<ds:datastoreItem xmlns:ds="http://schemas.openxmlformats.org/officeDocument/2006/customXml" ds:itemID="{3300DF24-F877-4DDE-8C57-5140F86BB580}">
  <ds:schemaRefs/>
</ds:datastoreItem>
</file>

<file path=customXml/itemProps6.xml><?xml version="1.0" encoding="utf-8"?>
<ds:datastoreItem xmlns:ds="http://schemas.openxmlformats.org/officeDocument/2006/customXml" ds:itemID="{D7C9488F-422A-4EF4-BCDA-909CA3CF8E4D}">
  <ds:schemaRefs/>
</ds:datastoreItem>
</file>

<file path=customXml/itemProps7.xml><?xml version="1.0" encoding="utf-8"?>
<ds:datastoreItem xmlns:ds="http://schemas.openxmlformats.org/officeDocument/2006/customXml" ds:itemID="{CBE691BD-8F99-4C33-BC60-FFEAB5515938}">
  <ds:schemaRefs/>
</ds:datastoreItem>
</file>

<file path=customXml/itemProps8.xml><?xml version="1.0" encoding="utf-8"?>
<ds:datastoreItem xmlns:ds="http://schemas.openxmlformats.org/officeDocument/2006/customXml" ds:itemID="{8B2391F3-24C7-4A26-B338-4A56B014AEEF}">
  <ds:schemaRefs/>
</ds:datastoreItem>
</file>

<file path=customXml/itemProps9.xml><?xml version="1.0" encoding="utf-8"?>
<ds:datastoreItem xmlns:ds="http://schemas.openxmlformats.org/officeDocument/2006/customXml" ds:itemID="{9A457EE1-3A75-41E2-A588-B682E0B49428}">
  <ds:schemaRefs/>
</ds:datastoreItem>
</file>

<file path=customXml/itemProps10.xml><?xml version="1.0" encoding="utf-8"?>
<ds:datastoreItem xmlns:ds="http://schemas.openxmlformats.org/officeDocument/2006/customXml" ds:itemID="{687073F4-AE63-477F-8102-C8BCED18E315}">
  <ds:schemaRefs/>
</ds:datastoreItem>
</file>

<file path=customXml/itemProps11.xml><?xml version="1.0" encoding="utf-8"?>
<ds:datastoreItem xmlns:ds="http://schemas.openxmlformats.org/officeDocument/2006/customXml" ds:itemID="{F9682A59-D997-4DAB-A3E3-207F56E23691}">
  <ds:schemaRefs/>
</ds:datastoreItem>
</file>

<file path=customXml/itemProps12.xml><?xml version="1.0" encoding="utf-8"?>
<ds:datastoreItem xmlns:ds="http://schemas.openxmlformats.org/officeDocument/2006/customXml" ds:itemID="{E2277C1E-A915-483D-8671-157681338CDF}">
  <ds:schemaRefs/>
</ds:datastoreItem>
</file>

<file path=customXml/itemProps13.xml><?xml version="1.0" encoding="utf-8"?>
<ds:datastoreItem xmlns:ds="http://schemas.openxmlformats.org/officeDocument/2006/customXml" ds:itemID="{5B622C63-ABF3-41E1-B6E7-CFAA3C1FD698}">
  <ds:schemaRefs/>
</ds:datastoreItem>
</file>

<file path=customXml/itemProps14.xml><?xml version="1.0" encoding="utf-8"?>
<ds:datastoreItem xmlns:ds="http://schemas.openxmlformats.org/officeDocument/2006/customXml" ds:itemID="{B419D3BF-59AA-4CD7-BE37-652A32AF01D4}">
  <ds:schemaRefs/>
</ds:datastoreItem>
</file>

<file path=customXml/itemProps15.xml><?xml version="1.0" encoding="utf-8"?>
<ds:datastoreItem xmlns:ds="http://schemas.openxmlformats.org/officeDocument/2006/customXml" ds:itemID="{E2D9E3C3-0EC0-4786-9AA4-E4BFB65ED317}">
  <ds:schemaRefs/>
</ds:datastoreItem>
</file>

<file path=customXml/itemProps16.xml><?xml version="1.0" encoding="utf-8"?>
<ds:datastoreItem xmlns:ds="http://schemas.openxmlformats.org/officeDocument/2006/customXml" ds:itemID="{B55C5BE5-5800-4374-B055-D094E807D1BB}">
  <ds:schemaRefs/>
</ds:datastoreItem>
</file>

<file path=customXml/itemProps17.xml><?xml version="1.0" encoding="utf-8"?>
<ds:datastoreItem xmlns:ds="http://schemas.openxmlformats.org/officeDocument/2006/customXml" ds:itemID="{55EE95BB-4144-433F-80FB-789EEBA229B7}">
  <ds:schemaRefs/>
</ds:datastoreItem>
</file>

<file path=customXml/itemProps18.xml><?xml version="1.0" encoding="utf-8"?>
<ds:datastoreItem xmlns:ds="http://schemas.openxmlformats.org/officeDocument/2006/customXml" ds:itemID="{94B22BD5-5BE6-4275-8712-C4BB4F4F51C0}">
  <ds:schemaRefs/>
</ds:datastoreItem>
</file>

<file path=customXml/itemProps19.xml><?xml version="1.0" encoding="utf-8"?>
<ds:datastoreItem xmlns:ds="http://schemas.openxmlformats.org/officeDocument/2006/customXml" ds:itemID="{78132A7B-ADE2-47B3-A2C0-12569F4733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3</vt:i4>
      </vt:variant>
    </vt:vector>
  </HeadingPairs>
  <TitlesOfParts>
    <vt:vector size="13" baseType="lpstr">
      <vt:lpstr>Menu</vt:lpstr>
      <vt:lpstr>Produtos</vt:lpstr>
      <vt:lpstr>Vendedores</vt:lpstr>
      <vt:lpstr>Vendas</vt:lpstr>
      <vt:lpstr>Consultas</vt:lpstr>
      <vt:lpstr>DN_Produtos</vt:lpstr>
      <vt:lpstr>DN_Vendas</vt:lpstr>
      <vt:lpstr>Cadastros Auxiliares</vt:lpstr>
      <vt:lpstr>DN_Vendedores</vt:lpstr>
      <vt:lpstr>Dashboard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Samir Oliveira</cp:lastModifiedBy>
  <cp:lastPrinted>2023-06-07T14:57:58Z</cp:lastPrinted>
  <dcterms:created xsi:type="dcterms:W3CDTF">2023-06-02T17:54:12Z</dcterms:created>
  <dcterms:modified xsi:type="dcterms:W3CDTF">2025-11-12T13:31:55Z</dcterms:modified>
</cp:coreProperties>
</file>