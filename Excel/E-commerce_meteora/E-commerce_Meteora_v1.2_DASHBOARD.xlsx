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21" documentId="8_{F09C4A0B-0F49-4682-8A8B-3EFF836C5069}" xr6:coauthVersionLast="47" xr6:coauthVersionMax="47" xr10:uidLastSave="{2664CB6A-32BA-44A5-B767-749C1112CDE5}"/>
  <bookViews>
    <workbookView xWindow="28680" yWindow="-120" windowWidth="38640" windowHeight="15720" firstSheet="2" activeTab="2" xr2:uid="{F6D97A53-F63B-4272-A181-44B26E0B790F}"/>
  </bookViews>
  <sheets>
    <sheet name="Meu Gráfico" sheetId="6" state="hidden" r:id="rId1"/>
    <sheet name="Planilha3" sheetId="5" state="hidden" r:id="rId2"/>
    <sheet name="Produtos" sheetId="17" r:id="rId3"/>
    <sheet name="Vendas" sheetId="16" r:id="rId4"/>
    <sheet name="Dados para Graficos" sheetId="19" r:id="rId5"/>
    <sheet name="Dashboard (2)" sheetId="20" r:id="rId6"/>
    <sheet name="Dashboard" sheetId="18" r:id="rId7"/>
    <sheet name="Meus Números (Tabela)" sheetId="12" state="hidden" r:id="rId8"/>
    <sheet name="Filtro Avançado" sheetId="9" state="hidden" r:id="rId9"/>
  </sheets>
  <definedNames>
    <definedName name="_xlnm._FilterDatabase" localSheetId="3" hidden="1">Vendas!$B$2:$F$120</definedName>
    <definedName name="_xlnm.Extract" localSheetId="8">'Filtro Avançado'!$B$6:$H$6</definedName>
    <definedName name="_xlnm.Criteria" localSheetId="8">'Filtro Avançado'!$B$2:$C$3</definedName>
    <definedName name="Int_Nome_Produtos">#REF!</definedName>
    <definedName name="Int_Quantidade">#REF!</definedName>
  </definedNames>
  <calcPr calcId="191029"/>
  <pivotCaches>
    <pivotCache cacheId="3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4" i="20" l="1"/>
  <c r="AO4" i="20"/>
  <c r="W4" i="20"/>
  <c r="C5" i="19"/>
  <c r="C4" i="19"/>
  <c r="C3" i="19"/>
  <c r="B5" i="19"/>
  <c r="B4" i="19"/>
  <c r="B3" i="19"/>
  <c r="H3" i="16"/>
  <c r="L11" i="19" s="1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L13" i="19"/>
  <c r="L12" i="19"/>
  <c r="N4" i="19"/>
  <c r="N5" i="19"/>
  <c r="N3" i="19"/>
  <c r="D4" i="19"/>
  <c r="D5" i="19"/>
  <c r="D3" i="19"/>
  <c r="BG4" i="18"/>
  <c r="AO4" i="18"/>
  <c r="W4" i="18"/>
  <c r="L4" i="19" l="1"/>
  <c r="M4" i="19" s="1"/>
  <c r="L3" i="19"/>
  <c r="M3" i="19" s="1"/>
  <c r="L5" i="19"/>
  <c r="M5" i="19" s="1"/>
  <c r="A62" i="16"/>
  <c r="D120" i="16"/>
  <c r="A120" i="16"/>
  <c r="D119" i="16"/>
  <c r="A119" i="16"/>
  <c r="D118" i="16"/>
  <c r="A118" i="16"/>
  <c r="D117" i="16"/>
  <c r="A117" i="16"/>
  <c r="D116" i="16"/>
  <c r="A116" i="16"/>
  <c r="D115" i="16"/>
  <c r="A115" i="16"/>
  <c r="D114" i="16"/>
  <c r="A114" i="16"/>
  <c r="D113" i="16"/>
  <c r="A113" i="16"/>
  <c r="D112" i="16"/>
  <c r="A112" i="16"/>
  <c r="D111" i="16"/>
  <c r="A111" i="16"/>
  <c r="D110" i="16"/>
  <c r="A110" i="16"/>
  <c r="D109" i="16"/>
  <c r="A109" i="16"/>
  <c r="D108" i="16"/>
  <c r="A108" i="16"/>
  <c r="D107" i="16"/>
  <c r="A107" i="16"/>
  <c r="D106" i="16"/>
  <c r="A106" i="16"/>
  <c r="D105" i="16"/>
  <c r="A105" i="16"/>
  <c r="D104" i="16"/>
  <c r="A104" i="16"/>
  <c r="D103" i="16"/>
  <c r="A103" i="16"/>
  <c r="D102" i="16"/>
  <c r="A102" i="16"/>
  <c r="D101" i="16"/>
  <c r="A101" i="16"/>
  <c r="D100" i="16"/>
  <c r="A100" i="16"/>
  <c r="D99" i="16"/>
  <c r="A99" i="16"/>
  <c r="D98" i="16"/>
  <c r="A98" i="16"/>
  <c r="D97" i="16"/>
  <c r="A97" i="16"/>
  <c r="D96" i="16"/>
  <c r="A96" i="16"/>
  <c r="D95" i="16"/>
  <c r="A95" i="16"/>
  <c r="D94" i="16"/>
  <c r="A94" i="16"/>
  <c r="D93" i="16"/>
  <c r="A93" i="16"/>
  <c r="D92" i="16"/>
  <c r="A92" i="16"/>
  <c r="D91" i="16"/>
  <c r="A91" i="16"/>
  <c r="D90" i="16"/>
  <c r="A90" i="16"/>
  <c r="D89" i="16"/>
  <c r="A89" i="16"/>
  <c r="D88" i="16"/>
  <c r="A88" i="16"/>
  <c r="D87" i="16"/>
  <c r="A87" i="16"/>
  <c r="D86" i="16"/>
  <c r="A86" i="16"/>
  <c r="D85" i="16"/>
  <c r="A85" i="16"/>
  <c r="D84" i="16"/>
  <c r="A84" i="16"/>
  <c r="D83" i="16"/>
  <c r="A83" i="16"/>
  <c r="D82" i="16"/>
  <c r="A82" i="16"/>
  <c r="D81" i="16"/>
  <c r="A81" i="16"/>
  <c r="D80" i="16"/>
  <c r="A80" i="16"/>
  <c r="D79" i="16"/>
  <c r="A79" i="16"/>
  <c r="D78" i="16"/>
  <c r="A78" i="16"/>
  <c r="D77" i="16"/>
  <c r="A77" i="16"/>
  <c r="D76" i="16"/>
  <c r="A76" i="16"/>
  <c r="D75" i="16"/>
  <c r="A75" i="16"/>
  <c r="D74" i="16"/>
  <c r="A74" i="16"/>
  <c r="D73" i="16"/>
  <c r="A73" i="16"/>
  <c r="D72" i="16"/>
  <c r="A72" i="16"/>
  <c r="D71" i="16"/>
  <c r="A71" i="16"/>
  <c r="D70" i="16"/>
  <c r="A70" i="16"/>
  <c r="D69" i="16"/>
  <c r="A69" i="16"/>
  <c r="D68" i="16"/>
  <c r="A68" i="16"/>
  <c r="D67" i="16"/>
  <c r="A67" i="16"/>
  <c r="D66" i="16"/>
  <c r="A66" i="16"/>
  <c r="D65" i="16"/>
  <c r="A65" i="16"/>
  <c r="D64" i="16"/>
  <c r="A64" i="16"/>
  <c r="D63" i="16"/>
  <c r="A63" i="16"/>
  <c r="D62" i="16"/>
  <c r="A61" i="16"/>
  <c r="D61" i="16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40" i="17"/>
  <c r="F42" i="17"/>
  <c r="F43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31" i="17"/>
  <c r="F132" i="17"/>
  <c r="F133" i="17"/>
  <c r="F134" i="17"/>
  <c r="F135" i="17"/>
  <c r="F136" i="17"/>
  <c r="F137" i="17"/>
  <c r="F138" i="17"/>
  <c r="F140" i="17"/>
  <c r="F143" i="17"/>
  <c r="F144" i="17"/>
  <c r="F145" i="17"/>
  <c r="F146" i="17"/>
  <c r="F147" i="17"/>
  <c r="F148" i="17"/>
  <c r="F149" i="17"/>
  <c r="F150" i="17"/>
  <c r="F151" i="17"/>
  <c r="F152" i="17"/>
  <c r="F153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71" i="17"/>
  <c r="F172" i="17"/>
  <c r="F173" i="17"/>
  <c r="F174" i="17"/>
  <c r="F175" i="17"/>
  <c r="F176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8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71" i="17"/>
  <c r="F272" i="17"/>
  <c r="F273" i="17"/>
  <c r="F274" i="17"/>
  <c r="F275" i="17"/>
  <c r="F276" i="17"/>
  <c r="F277" i="17"/>
  <c r="F278" i="17"/>
  <c r="F279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3" i="17"/>
  <c r="F304" i="17"/>
  <c r="F305" i="17"/>
  <c r="F306" i="17"/>
  <c r="F307" i="17"/>
  <c r="F308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4" i="17" l="1"/>
  <c r="F5" i="17"/>
  <c r="F6" i="17"/>
  <c r="F39" i="17"/>
  <c r="F41" i="17"/>
  <c r="F44" i="17"/>
  <c r="F58" i="17"/>
  <c r="F59" i="17"/>
  <c r="F60" i="17"/>
  <c r="F84" i="17"/>
  <c r="F85" i="17"/>
  <c r="F86" i="17"/>
  <c r="F128" i="17"/>
  <c r="F129" i="17"/>
  <c r="F130" i="17"/>
  <c r="F139" i="17"/>
  <c r="F141" i="17"/>
  <c r="F142" i="17"/>
  <c r="F154" i="17"/>
  <c r="F168" i="17"/>
  <c r="F169" i="17"/>
  <c r="F170" i="17"/>
  <c r="F177" i="17"/>
  <c r="F178" i="17"/>
  <c r="F179" i="17"/>
  <c r="F217" i="17"/>
  <c r="F219" i="17"/>
  <c r="F268" i="17"/>
  <c r="F269" i="17"/>
  <c r="F270" i="17"/>
  <c r="F280" i="17"/>
  <c r="F281" i="17"/>
  <c r="F282" i="17"/>
  <c r="F300" i="17"/>
  <c r="F301" i="17"/>
  <c r="F302" i="17"/>
  <c r="F309" i="17"/>
  <c r="F310" i="17"/>
  <c r="F311" i="17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3" i="16"/>
  <c r="H6" i="19" l="1"/>
  <c r="H8" i="19"/>
  <c r="H9" i="19"/>
  <c r="H10" i="19"/>
  <c r="H12" i="19"/>
  <c r="H13" i="19"/>
  <c r="H14" i="19"/>
  <c r="H3" i="19"/>
  <c r="I14" i="19"/>
  <c r="I3" i="19"/>
  <c r="H7" i="19"/>
  <c r="I5" i="19"/>
  <c r="I6" i="19"/>
  <c r="I7" i="19"/>
  <c r="I8" i="19"/>
  <c r="H11" i="19"/>
  <c r="I9" i="19"/>
  <c r="I10" i="19"/>
  <c r="I11" i="19"/>
  <c r="I12" i="19"/>
  <c r="I13" i="19"/>
  <c r="I4" i="19"/>
  <c r="H4" i="19"/>
  <c r="H5" i="19"/>
  <c r="B4" i="12"/>
  <c r="H4" i="12"/>
  <c r="G4" i="12"/>
  <c r="F4" i="12"/>
  <c r="D4" i="12"/>
  <c r="C4" i="12"/>
</calcChain>
</file>

<file path=xl/sharedStrings.xml><?xml version="1.0" encoding="utf-8"?>
<sst xmlns="http://schemas.openxmlformats.org/spreadsheetml/2006/main" count="1701" uniqueCount="590">
  <si>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</si>
  <si>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</si>
  <si>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</si>
  <si>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</si>
  <si>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</si>
  <si>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</si>
  <si>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</si>
  <si>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</si>
  <si>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</si>
  <si>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</si>
  <si>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</si>
  <si>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</si>
  <si>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</si>
  <si>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</si>
  <si>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</si>
  <si>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</si>
  <si>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</si>
  <si>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</si>
  <si>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</si>
  <si>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</si>
  <si>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</si>
  <si>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</si>
  <si>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</si>
  <si>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</si>
  <si>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</si>
  <si>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</si>
  <si>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</si>
  <si>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</si>
  <si>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</si>
  <si>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</si>
  <si>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</si>
  <si>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</si>
  <si>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</si>
  <si>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</si>
  <si>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</si>
  <si>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</si>
  <si>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</si>
  <si>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</si>
  <si>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</si>
  <si>
    <t>Todos os Produtos</t>
  </si>
  <si>
    <t>Média de Qtd em Estoque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</si>
  <si>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</si>
  <si>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</si>
  <si>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</si>
  <si>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</si>
  <si>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</si>
  <si>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</si>
  <si>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</si>
  <si>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</si>
  <si>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</si>
  <si>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</si>
  <si>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</si>
  <si>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</si>
  <si>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</si>
  <si>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</si>
  <si>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</si>
  <si>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</si>
  <si>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</si>
  <si>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</si>
  <si>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</si>
  <si>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</si>
  <si>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</si>
  <si>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</si>
  <si>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</si>
  <si>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</si>
  <si>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</si>
  <si>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</si>
  <si>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</si>
  <si>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</si>
  <si>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</si>
  <si>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</si>
  <si>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</si>
  <si>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</si>
  <si>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</si>
  <si>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</si>
  <si>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</si>
  <si>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</si>
  <si>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</si>
  <si>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</si>
  <si>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</si>
  <si>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</si>
  <si>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</si>
  <si>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</si>
  <si>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</si>
  <si>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</si>
  <si>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</si>
  <si>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</si>
  <si>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</si>
  <si>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</si>
  <si>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Sintuação</t>
  </si>
  <si>
    <t>Bermuda Chino Cáqui Masculina</t>
  </si>
  <si>
    <t>Saias e Shorts</t>
  </si>
  <si>
    <t>Bermuda Ciclista Lycra Preta</t>
  </si>
  <si>
    <t>Bermuda Jeans Destroyed Feminina</t>
  </si>
  <si>
    <t>Bermuda Jeans Reta Masculina</t>
  </si>
  <si>
    <t>Blazer Alfaiataria Nude</t>
  </si>
  <si>
    <t>Casacos e Jaquetas</t>
  </si>
  <si>
    <t>Blazer Estruturado Preto</t>
  </si>
  <si>
    <t>Blazer Oversized Verde Esmeralda</t>
  </si>
  <si>
    <t>Blazer Xadrez Feminino Casual</t>
  </si>
  <si>
    <t>Blusa Alça Larga Seda Branca</t>
  </si>
  <si>
    <t>Blusas e Suéteres</t>
  </si>
  <si>
    <t>Blusa Ciganinha Estampada</t>
  </si>
  <si>
    <t>Blusa com Renda no Decote Preto</t>
  </si>
  <si>
    <t>Blusa Cropped Canelado Branco</t>
  </si>
  <si>
    <t>Blusa de Frio Manga Bufante</t>
  </si>
  <si>
    <t>Blusa de Tricô Gola Alta Creme</t>
  </si>
  <si>
    <t>Blusa de Tule Transparente Preto</t>
  </si>
  <si>
    <t>Blusa Manga Longa Estampada Poá</t>
  </si>
  <si>
    <t>Blusa Segunda Pele Manga Longa</t>
  </si>
  <si>
    <t>Camisetas</t>
  </si>
  <si>
    <t>Blusa Segunda Pele Renda Preta</t>
  </si>
  <si>
    <t>Blusa Segunda Pele Térmica</t>
  </si>
  <si>
    <t>Body Canelado Alças Finas Vermelho</t>
  </si>
  <si>
    <t>Bolsa Carteiro Lona Masculina</t>
  </si>
  <si>
    <t>Bolsa Tiracolo Pequena Preta</t>
  </si>
  <si>
    <t>Boné Aba Curva Liso Preto</t>
  </si>
  <si>
    <t>Bota Cano Curto Salto Bloco</t>
  </si>
  <si>
    <t>Bota Chelsea Couro Marrom</t>
  </si>
  <si>
    <t>Bota Coturno Couro Preto</t>
  </si>
  <si>
    <t>Bota Over The Knee Salto Alto</t>
  </si>
  <si>
    <t>Brinco Argola Média Dourada</t>
  </si>
  <si>
    <t>Cachecol de Lã Xadrez</t>
  </si>
  <si>
    <t>Calça Alfaiataria Cenoura Mostarda</t>
  </si>
  <si>
    <t>Calças</t>
  </si>
  <si>
    <t>Calça Alfaiataria Póa Feminina</t>
  </si>
  <si>
    <t>Calça Cargo Tecido Leve Bege</t>
  </si>
  <si>
    <t>Calça Clochard Viscose Preta</t>
  </si>
  <si>
    <t>Calça Flare Sarja Off White</t>
  </si>
  <si>
    <t>Calça Jeans Boot Cut Escura</t>
  </si>
  <si>
    <t>Calça Jeans Cropped Preta</t>
  </si>
  <si>
    <t>Calça Jeans Destroyed Clara</t>
  </si>
  <si>
    <t>Calça Jeans Reta Preta</t>
  </si>
  <si>
    <t>Calça Jeans Skinny Azul Escuro</t>
  </si>
  <si>
    <t>Calça Jeans Super Skinny Masculina</t>
  </si>
  <si>
    <t>Calça Jeans Wide Leg Azul Claro</t>
  </si>
  <si>
    <t>Calça Jogger Moletom Preto</t>
  </si>
  <si>
    <t>Calça Legging com Recortes Cinza</t>
  </si>
  <si>
    <t>Calça Montaria Cirrê Preta</t>
  </si>
  <si>
    <t>Calça Pantalona Viscose Vermelha</t>
  </si>
  <si>
    <t>Calça Reta Tecido Estampado</t>
  </si>
  <si>
    <t>Calça Social Chino Cáqui</t>
  </si>
  <si>
    <t>Calça Social com Cinto Marinho</t>
  </si>
  <si>
    <t>Calça Social Slim Cinza</t>
  </si>
  <si>
    <t>Calça Wide Leg Linho Bege</t>
  </si>
  <si>
    <t>Calcinha de Renda Fio Dental</t>
  </si>
  <si>
    <t>Íntimo</t>
  </si>
  <si>
    <t>Calcinha Hot Pant Renda Branca</t>
  </si>
  <si>
    <t>Calcinha Sem Costura Kit 3 und</t>
  </si>
  <si>
    <t>Calcinha Tanga Kit 5 und Cores</t>
  </si>
  <si>
    <t>Camisa Jeans Lavagem Clara</t>
  </si>
  <si>
    <t>Camisas</t>
  </si>
  <si>
    <t>Camisa Linho Gola Padre Bege</t>
  </si>
  <si>
    <t>Camisa Manga Curta Viscose Floral</t>
  </si>
  <si>
    <t>Camisa Polo Listrada Azul/Branca</t>
  </si>
  <si>
    <t>Camisa Polo Piquet Azul Marinho</t>
  </si>
  <si>
    <t>Camisa Social Lisa Rosa Claro</t>
  </si>
  <si>
    <t>Camisa Social Slim Fit Azul Claro</t>
  </si>
  <si>
    <t>Camisa Social Slim Fit Branca</t>
  </si>
  <si>
    <t>Camisa Xadrez Flanela Vermelha</t>
  </si>
  <si>
    <t>Camiseta Básica Algodão Amarela</t>
  </si>
  <si>
    <t>Camiseta Básica Algodão Branca</t>
  </si>
  <si>
    <t>Camiseta Básica Algodão Preta</t>
  </si>
  <si>
    <t>Camiseta Básica Algodão Verde Oliva</t>
  </si>
  <si>
    <t>Camiseta Dry Fit Academia Preta</t>
  </si>
  <si>
    <t>Camiseta Estampada Banda Rock</t>
  </si>
  <si>
    <t>Camiseta Estampada Vintage</t>
  </si>
  <si>
    <t>Camiseta Gola V Malha Verde Militar</t>
  </si>
  <si>
    <t>Camiseta Longline Lisa Preta</t>
  </si>
  <si>
    <t>Camiseta Oversized Estampa Gráfica</t>
  </si>
  <si>
    <t>Camiseta Regata Estampada Verão</t>
  </si>
  <si>
    <t>Camisola Curta Renda Azul Marinho</t>
  </si>
  <si>
    <t>Cardigã de Malha Fina Preto</t>
  </si>
  <si>
    <t>Cardigã Longo Fio Mousse Rosa</t>
  </si>
  <si>
    <t>Carteira de Couro Clássica</t>
  </si>
  <si>
    <t>Casaco Teddy Bear Marrom</t>
  </si>
  <si>
    <t>Chinelo Slide Confortável Preto</t>
  </si>
  <si>
    <t>Cinto de Couro Dupla Face</t>
  </si>
  <si>
    <t>Cinto de Couro Fino Marrom</t>
  </si>
  <si>
    <t>Cinto Largo Fivela Dourada</t>
  </si>
  <si>
    <t>Cinto Trançado Fivela Redonda</t>
  </si>
  <si>
    <t>Colar Pingente Ponto de Luz</t>
  </si>
  <si>
    <t>Colete Puffer Preto</t>
  </si>
  <si>
    <t>Cueca Boxer Microfibra Kit 3 und</t>
  </si>
  <si>
    <t>Gorro de Inverno com Logo</t>
  </si>
  <si>
    <t>Gorro de Inverno com Pompom Rosa</t>
  </si>
  <si>
    <t>Jaqueta Bomber Cetim Estampada</t>
  </si>
  <si>
    <t>Jaqueta Corta Vento Esportiva</t>
  </si>
  <si>
    <t>Jaqueta de Couro Sintético Preta</t>
  </si>
  <si>
    <t>Jaqueta de Sarja Masculina Verde</t>
  </si>
  <si>
    <t>Jaqueta Jeans Clássica Azul</t>
  </si>
  <si>
    <t>Jaqueta Jeans Cropped Lavagem Clara</t>
  </si>
  <si>
    <t>Jaqueta Puffer Branca</t>
  </si>
  <si>
    <t>Jaqueta Sarja Trucker Azul</t>
  </si>
  <si>
    <t>Legging Fitness Preto</t>
  </si>
  <si>
    <t>Lenço Quadrado Seda Estampado</t>
  </si>
  <si>
    <t>Luva de Couro Forrada Inverno</t>
  </si>
  <si>
    <t>Luva de Dedo Touch Screen Preta</t>
  </si>
  <si>
    <t>Macacão Curto Saruel Moletom</t>
  </si>
  <si>
    <t>Vestidos</t>
  </si>
  <si>
    <t>Macacão Longo Decote V Azul</t>
  </si>
  <si>
    <t>Meia 3/4 Esportiva Listrada</t>
  </si>
  <si>
    <t>Meias</t>
  </si>
  <si>
    <t>Meia Calça Fio 40 Preta</t>
  </si>
  <si>
    <t>Meia Calça Fio 80 Inverno</t>
  </si>
  <si>
    <t>Meia de Compressão Viagem</t>
  </si>
  <si>
    <t>Meia Divertida Estampada</t>
  </si>
  <si>
    <t>Meia Esportiva Cano Médio Branca</t>
  </si>
  <si>
    <t>Meia Sapatilha Invisível Kit 3 und</t>
  </si>
  <si>
    <t>Meia Social Cano Curto Preta</t>
  </si>
  <si>
    <t>Mocassim Feminino Verniz Vermelho</t>
  </si>
  <si>
    <t>Mochila de Couro Ecológico</t>
  </si>
  <si>
    <t>Moletom Canguru Básico Cinza</t>
  </si>
  <si>
    <t>Moletom Cropped Preto</t>
  </si>
  <si>
    <t>Moletom Gola Careca Sem Estampa</t>
  </si>
  <si>
    <t>Óculos de Grau Armação Redonda</t>
  </si>
  <si>
    <t>Óculos de Sol Aviador</t>
  </si>
  <si>
    <t>Parka com Capuz e Forro Azul</t>
  </si>
  <si>
    <t>Pijama Americano Cetim Rosa</t>
  </si>
  <si>
    <t>Pijama Curto Viscose Estampado</t>
  </si>
  <si>
    <t>Pijama Longo Flanela Xadrez</t>
  </si>
  <si>
    <t>Pochete Transversal Esportiva</t>
  </si>
  <si>
    <t>Pulseira Bangle Prateada</t>
  </si>
  <si>
    <t>Regata Cavada Masculina Cinza</t>
  </si>
  <si>
    <t>Relógio Clássico Pulseira Couro</t>
  </si>
  <si>
    <t>Roupão de Banho Atoalhado Branco</t>
  </si>
  <si>
    <t>Saia Godê Midi Estampada</t>
  </si>
  <si>
    <t>Saia Jeans Mini Botões</t>
  </si>
  <si>
    <t>Saia Lápis Alfaiataria Preta</t>
  </si>
  <si>
    <t>Saia Longa Estampada Fenda</t>
  </si>
  <si>
    <t>Saia Midi Evasê Poá</t>
  </si>
  <si>
    <t>Saia Plissada Midi Vinho</t>
  </si>
  <si>
    <t>Sandália Anabela Palha</t>
  </si>
  <si>
    <t>Sandália Rasteira Tiras Marrom</t>
  </si>
  <si>
    <t>Sandália Salto Grosso Nude</t>
  </si>
  <si>
    <t>Sapatênis Couro Marrom Masculino</t>
  </si>
  <si>
    <t>Sapatilha Bico Fino Nude</t>
  </si>
  <si>
    <t>Sapato Oxford Feminino Marrom</t>
  </si>
  <si>
    <t>Sapato Social Couro Masculino Preto</t>
  </si>
  <si>
    <t>Scarpin Salto Médio Preto</t>
  </si>
  <si>
    <t>Short Biker Lycra Vinho</t>
  </si>
  <si>
    <t>Short de Alfaiataria Cinto Branco</t>
  </si>
  <si>
    <t>Short Jeans Cintura Alta</t>
  </si>
  <si>
    <t>Short Jeans Colorido Vermelho</t>
  </si>
  <si>
    <t>Short Moletom Esportivo Masculino</t>
  </si>
  <si>
    <t>Shorts Saia Fitness Estampado</t>
  </si>
  <si>
    <t>Sobretudo de Lã Cáqui</t>
  </si>
  <si>
    <t>Sobretudo Xadrez Feminino</t>
  </si>
  <si>
    <t>Suéter de Lã Clássico Preto</t>
  </si>
  <si>
    <t>Suéter Decote V Cinza Mescla</t>
  </si>
  <si>
    <t>Sutiã Adesivo Invisível</t>
  </si>
  <si>
    <t>Sutiã Básico de Algodão Branco</t>
  </si>
  <si>
    <t>Sutiã de Renda Sem Bojo Preto</t>
  </si>
  <si>
    <t>Sutiã Esportivo Alto Sustentação</t>
  </si>
  <si>
    <t>Sutiã Push-Up com Bojo Renda</t>
  </si>
  <si>
    <t>Sutiã Sem Costura Bojo Removível</t>
  </si>
  <si>
    <t>Sutiã Top Faixa Sem Costura</t>
  </si>
  <si>
    <t>Tênis Cano Alto Estampa Animal Print</t>
  </si>
  <si>
    <t>Tênis Casual Branco Lona</t>
  </si>
  <si>
    <t>Tênis de Corrida Amortecimento</t>
  </si>
  <si>
    <t>Tênis Esportivo Casual Preto</t>
  </si>
  <si>
    <t>Tênis Slip On Preto</t>
  </si>
  <si>
    <t>Tênis Urbano Plataforma Branco</t>
  </si>
  <si>
    <t>Touca de Lã Inverno Cinza</t>
  </si>
  <si>
    <t>T-Shirt Estampa Minimalista Amarela</t>
  </si>
  <si>
    <t>T-Shirt Gola Redonda Mescla</t>
  </si>
  <si>
    <t>T-Shirt Gola V Dry Fit Esportiva</t>
  </si>
  <si>
    <t>Vestido Alcinha Curto Malha</t>
  </si>
  <si>
    <t>Vestido Chemise Listrado</t>
  </si>
  <si>
    <t>Vestido Curto em Linho Laranja</t>
  </si>
  <si>
    <t>Vestido Curto Rodado Estampado</t>
  </si>
  <si>
    <t>Vestido Evasê Curto Tule</t>
  </si>
  <si>
    <t>Vestido Longo Liso Malha Vermelho</t>
  </si>
  <si>
    <t>Vestido Longo Tule Bordado Festa</t>
  </si>
  <si>
    <t>Vestido Longo Viscose Amarelo</t>
  </si>
  <si>
    <t>Vestido Midi Estampado Floral</t>
  </si>
  <si>
    <t>Vestido Reto Jeans Botões</t>
  </si>
  <si>
    <t>Vestido Tubinho Canelado Cinza</t>
  </si>
  <si>
    <t>Vestido Tubinho Lese Branco</t>
  </si>
  <si>
    <t>Vestido Tubinho Preto Básico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</si>
  <si>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</si>
  <si>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</si>
  <si>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</si>
  <si>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</si>
  <si>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</si>
  <si>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</si>
  <si>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</si>
  <si>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</si>
  <si>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</si>
  <si>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</si>
  <si>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</si>
  <si>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</si>
  <si>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</si>
  <si>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</si>
  <si>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</si>
  <si>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</si>
  <si>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</si>
  <si>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</si>
  <si>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</si>
  <si>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</si>
  <si>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</si>
  <si>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</si>
  <si>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</si>
  <si>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</si>
  <si>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</si>
  <si>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</si>
  <si>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</si>
  <si>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</si>
  <si>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</si>
  <si>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</si>
  <si>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</si>
  <si>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</si>
  <si>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</si>
  <si>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</si>
  <si>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</si>
  <si>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</si>
  <si>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</si>
  <si>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</si>
  <si>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</si>
  <si>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</si>
  <si>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</si>
  <si>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</si>
  <si>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</si>
  <si>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</si>
  <si>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</si>
  <si>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</si>
  <si>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</si>
  <si>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</si>
  <si>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</si>
  <si>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</si>
  <si>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</si>
  <si>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</si>
  <si>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</si>
  <si>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</si>
  <si>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</si>
  <si>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</si>
  <si>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</si>
  <si>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</si>
  <si>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</si>
  <si>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</si>
  <si>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</si>
  <si>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PR101</t>
  </si>
  <si>
    <t>PR102</t>
  </si>
  <si>
    <t>PR103</t>
  </si>
  <si>
    <t>PR104</t>
  </si>
  <si>
    <t>PR105</t>
  </si>
  <si>
    <t>PR106</t>
  </si>
  <si>
    <t>PR107</t>
  </si>
  <si>
    <t>PR108</t>
  </si>
  <si>
    <t>PR109</t>
  </si>
  <si>
    <t>PR110</t>
  </si>
  <si>
    <t>PR111</t>
  </si>
  <si>
    <t>PR112</t>
  </si>
  <si>
    <t>PR113</t>
  </si>
  <si>
    <t>PR114</t>
  </si>
  <si>
    <t>PR115</t>
  </si>
  <si>
    <t>PR116</t>
  </si>
  <si>
    <t>PR117</t>
  </si>
  <si>
    <t>PR118</t>
  </si>
  <si>
    <t>PR119</t>
  </si>
  <si>
    <t>PR120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</si>
  <si>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</si>
  <si>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</si>
  <si>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</si>
  <si>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</si>
  <si>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</si>
  <si>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</si>
  <si>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</si>
  <si>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</si>
  <si>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</si>
  <si>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</si>
  <si>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</si>
  <si>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</si>
  <si>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</si>
  <si>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</si>
  <si>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</si>
  <si>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</si>
  <si>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</si>
  <si>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</si>
  <si>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</si>
  <si>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</si>
  <si>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</si>
  <si>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</si>
  <si>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</si>
  <si>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</si>
  <si>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</si>
  <si>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</si>
  <si>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</si>
  <si>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</si>
  <si>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</si>
  <si>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</si>
  <si>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</si>
  <si>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</si>
  <si>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</si>
  <si>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</si>
  <si>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</si>
  <si>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</si>
  <si>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PR157</t>
  </si>
  <si>
    <t>PR158</t>
  </si>
  <si>
    <t>PR159</t>
  </si>
  <si>
    <t>PR160</t>
  </si>
  <si>
    <t>PR161</t>
  </si>
  <si>
    <t>PR162</t>
  </si>
  <si>
    <t>PR163</t>
  </si>
  <si>
    <t>PR164</t>
  </si>
  <si>
    <t>PR165</t>
  </si>
  <si>
    <t>PR166</t>
  </si>
  <si>
    <t>PR167</t>
  </si>
  <si>
    <t>PR168</t>
  </si>
  <si>
    <t>PR169</t>
  </si>
  <si>
    <t>PR170</t>
  </si>
  <si>
    <t>PR171</t>
  </si>
  <si>
    <t>PR172</t>
  </si>
  <si>
    <t>PR173</t>
  </si>
  <si>
    <t>PR174</t>
  </si>
  <si>
    <t>PR175</t>
  </si>
  <si>
    <t>PR176</t>
  </si>
  <si>
    <t>PR177</t>
  </si>
  <si>
    <t>PR178</t>
  </si>
  <si>
    <t>PR179</t>
  </si>
  <si>
    <t>PR180</t>
  </si>
  <si>
    <t>PR181</t>
  </si>
  <si>
    <t>PR182</t>
  </si>
  <si>
    <t>PR183</t>
  </si>
  <si>
    <t>PR184</t>
  </si>
  <si>
    <t>PR185</t>
  </si>
  <si>
    <t>PR186</t>
  </si>
  <si>
    <t>PR187</t>
  </si>
  <si>
    <t>PR188</t>
  </si>
  <si>
    <t>PR189</t>
  </si>
  <si>
    <t>PR190</t>
  </si>
  <si>
    <t>PR191</t>
  </si>
  <si>
    <t>PR192</t>
  </si>
  <si>
    <t>PR193</t>
  </si>
  <si>
    <t>PR194</t>
  </si>
  <si>
    <t>PR195</t>
  </si>
  <si>
    <t>PR196</t>
  </si>
  <si>
    <t>PR197</t>
  </si>
  <si>
    <t>PR198</t>
  </si>
  <si>
    <t>PR199</t>
  </si>
  <si>
    <t>PR200</t>
  </si>
  <si>
    <t>PR201</t>
  </si>
  <si>
    <t>PR202</t>
  </si>
  <si>
    <t>PR203</t>
  </si>
  <si>
    <t>PR204</t>
  </si>
  <si>
    <t>PR205</t>
  </si>
  <si>
    <t>PR206</t>
  </si>
  <si>
    <t>PR207</t>
  </si>
  <si>
    <t>PR208</t>
  </si>
  <si>
    <t>PR209</t>
  </si>
  <si>
    <t>PR210</t>
  </si>
  <si>
    <t>PR211</t>
  </si>
  <si>
    <t>PR212</t>
  </si>
  <si>
    <t>PR213</t>
  </si>
  <si>
    <t>PR214</t>
  </si>
  <si>
    <t>PR215</t>
  </si>
  <si>
    <t>PR216</t>
  </si>
  <si>
    <t>PR217</t>
  </si>
  <si>
    <t>PR218</t>
  </si>
  <si>
    <t>PR219</t>
  </si>
  <si>
    <t>PR220</t>
  </si>
  <si>
    <t>PR221</t>
  </si>
  <si>
    <t>PR222</t>
  </si>
  <si>
    <t>PR223</t>
  </si>
  <si>
    <t>PR224</t>
  </si>
  <si>
    <t>PR225</t>
  </si>
  <si>
    <t>PR226</t>
  </si>
  <si>
    <t>PR227</t>
  </si>
  <si>
    <t>PR228</t>
  </si>
  <si>
    <t>PR229</t>
  </si>
  <si>
    <t>PR230</t>
  </si>
  <si>
    <t>PR231</t>
  </si>
  <si>
    <t>PR232</t>
  </si>
  <si>
    <t>PR233</t>
  </si>
  <si>
    <t>PR234</t>
  </si>
  <si>
    <t>PR235</t>
  </si>
  <si>
    <t>PR236</t>
  </si>
  <si>
    <t>PR237</t>
  </si>
  <si>
    <t>PR238</t>
  </si>
  <si>
    <t>PR239</t>
  </si>
  <si>
    <t>PR240</t>
  </si>
  <si>
    <t>PR241</t>
  </si>
  <si>
    <t>PR242</t>
  </si>
  <si>
    <t>PR243</t>
  </si>
  <si>
    <t>PR244</t>
  </si>
  <si>
    <t>PR245</t>
  </si>
  <si>
    <t>PR246</t>
  </si>
  <si>
    <t>PR247</t>
  </si>
  <si>
    <t>PR248</t>
  </si>
  <si>
    <t>PR249</t>
  </si>
  <si>
    <t>PR250</t>
  </si>
  <si>
    <t>PR251</t>
  </si>
  <si>
    <t>PR252</t>
  </si>
  <si>
    <t>PR253</t>
  </si>
  <si>
    <t>PR254</t>
  </si>
  <si>
    <t>PR255</t>
  </si>
  <si>
    <t>PR256</t>
  </si>
  <si>
    <t>PR257</t>
  </si>
  <si>
    <t>PR258</t>
  </si>
  <si>
    <t>PR259</t>
  </si>
  <si>
    <t>PR260</t>
  </si>
  <si>
    <t>PR261</t>
  </si>
  <si>
    <t>PR262</t>
  </si>
  <si>
    <t>PR263</t>
  </si>
  <si>
    <t>PR264</t>
  </si>
  <si>
    <t>PR265</t>
  </si>
  <si>
    <t>PR266</t>
  </si>
  <si>
    <t>PR267</t>
  </si>
  <si>
    <t>PR268</t>
  </si>
  <si>
    <t>PR269</t>
  </si>
  <si>
    <t>PR270</t>
  </si>
  <si>
    <t>PR271</t>
  </si>
  <si>
    <t>PR272</t>
  </si>
  <si>
    <t>PR273</t>
  </si>
  <si>
    <t>PR274</t>
  </si>
  <si>
    <t>PR275</t>
  </si>
  <si>
    <t>PR276</t>
  </si>
  <si>
    <t>PR277</t>
  </si>
  <si>
    <t>PR278</t>
  </si>
  <si>
    <t>PR279</t>
  </si>
  <si>
    <t>PR280</t>
  </si>
  <si>
    <t>PR281</t>
  </si>
  <si>
    <t>PR282</t>
  </si>
  <si>
    <t>PR283</t>
  </si>
  <si>
    <t>PR284</t>
  </si>
  <si>
    <t>PR285</t>
  </si>
  <si>
    <t>PR286</t>
  </si>
  <si>
    <t>PR287</t>
  </si>
  <si>
    <t>PR288</t>
  </si>
  <si>
    <t>PR289</t>
  </si>
  <si>
    <t>PR290</t>
  </si>
  <si>
    <t>PR291</t>
  </si>
  <si>
    <t>PR292</t>
  </si>
  <si>
    <t>PR293</t>
  </si>
  <si>
    <t>PR294</t>
  </si>
  <si>
    <t>PR295</t>
  </si>
  <si>
    <t>PR296</t>
  </si>
  <si>
    <t>PR297</t>
  </si>
  <si>
    <t>PR298</t>
  </si>
  <si>
    <t>PR299</t>
  </si>
  <si>
    <t>PR300</t>
  </si>
  <si>
    <t>PR301</t>
  </si>
  <si>
    <t>PR302</t>
  </si>
  <si>
    <t>PR303</t>
  </si>
  <si>
    <t>PR304</t>
  </si>
  <si>
    <t>PR305</t>
  </si>
  <si>
    <t>PR306</t>
  </si>
  <si>
    <t>PR307</t>
  </si>
  <si>
    <t>PR308</t>
  </si>
  <si>
    <t>PR309</t>
  </si>
  <si>
    <t>PR310</t>
  </si>
  <si>
    <t>PR311</t>
  </si>
  <si>
    <t>PR312</t>
  </si>
  <si>
    <t>PR313</t>
  </si>
  <si>
    <t>PR314</t>
  </si>
  <si>
    <t>PR315</t>
  </si>
  <si>
    <t>PR316</t>
  </si>
  <si>
    <t>PR317</t>
  </si>
  <si>
    <t>PR318</t>
  </si>
  <si>
    <t>PR319</t>
  </si>
  <si>
    <t>PR320</t>
  </si>
  <si>
    <t>PR321</t>
  </si>
  <si>
    <t>Total de Produtos</t>
  </si>
  <si>
    <t>Total de Vendas</t>
  </si>
  <si>
    <t>Produtos Vendidos</t>
  </si>
  <si>
    <t>Vendas Mensais</t>
  </si>
  <si>
    <t>Vendas por Categoria</t>
  </si>
  <si>
    <t>Ranking Vendedores</t>
  </si>
  <si>
    <t>Vendedores</t>
  </si>
  <si>
    <t>Dados</t>
  </si>
  <si>
    <t>Nu. do Mês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</si>
  <si>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</si>
  <si>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</si>
  <si>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</si>
  <si>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</si>
  <si>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</si>
  <si>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</si>
  <si>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</si>
  <si>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</si>
  <si>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</si>
  <si>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</si>
  <si>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</si>
  <si>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</si>
  <si>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</si>
  <si>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Faturamento</t>
  </si>
  <si>
    <t>% Categoria</t>
  </si>
  <si>
    <t>% Restante</t>
  </si>
  <si>
    <t>Pode ser utilizado em grafico de pizza</t>
  </si>
  <si>
    <t>Pode ser utilizado em grafico de relogio</t>
  </si>
  <si>
    <t>Unt.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</si>
</sst>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.00_-;\-[$R$-416]\ * #,##0.00_-;_-[$R$-416]\ * &quot;-&quot;??_-;_-@"/>
  </numFmts>
  <fonts count="1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ontserrat"/>
    </font>
    <font>
      <b/>
      <sz val="16"/>
      <color rgb="FFFFFF00"/>
      <name val="Montserrat"/>
    </font>
    <font>
      <sz val="11"/>
      <name val="Calibri"/>
      <family val="2"/>
    </font>
    <font>
      <b/>
      <sz val="26"/>
      <color theme="1"/>
      <name val="Montserrat"/>
    </font>
    <font>
      <sz val="16"/>
      <color theme="1"/>
      <name val="Montserrat"/>
    </font>
    <font>
      <sz val="8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5" borderId="0" applyNumberFormat="0" applyBorder="0" applyAlignment="0" applyProtection="0"/>
    <xf numFmtId="0" fontId="7" fillId="3" borderId="0" applyNumberFormat="0" applyBorder="0" applyAlignment="0" applyProtection="0">
      <alignment horizontal="center"/>
    </xf>
    <xf numFmtId="0" fontId="2" fillId="4" borderId="10" applyNumberFormat="0" applyBorder="0" applyAlignment="0" applyProtection="0">
      <alignment horizontal="center"/>
    </xf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pivotButton="1"/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17" xfId="0" applyFont="1" applyBorder="1" applyAlignment="1">
      <alignment horizontal="center" vertical="center"/>
    </xf>
    <xf numFmtId="0" fontId="2" fillId="4" borderId="16" xfId="3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4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3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" fontId="0" fillId="0" borderId="18" xfId="0" applyNumberFormat="1" applyFont="1" applyBorder="1" applyAlignment="1">
      <alignment horizontal="center" vertical="center"/>
    </xf>
    <xf numFmtId="14" fontId="0" fillId="0" borderId="19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64" fontId="0" fillId="0" borderId="19" xfId="0" applyNumberFormat="1" applyFont="1" applyBorder="1" applyAlignment="1">
      <alignment vertical="center"/>
    </xf>
    <xf numFmtId="0" fontId="0" fillId="0" borderId="20" xfId="0" applyFont="1" applyBorder="1" applyAlignment="1">
      <alignment horizontal="center" vertical="center"/>
    </xf>
    <xf numFmtId="1" fontId="0" fillId="0" borderId="21" xfId="0" applyNumberFormat="1" applyFont="1" applyBorder="1" applyAlignment="1">
      <alignment horizontal="center" vertical="center"/>
    </xf>
    <xf numFmtId="14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64" fontId="0" fillId="0" borderId="22" xfId="0" applyNumberFormat="1" applyFont="1" applyBorder="1" applyAlignment="1">
      <alignment vertical="center"/>
    </xf>
    <xf numFmtId="0" fontId="0" fillId="0" borderId="2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/>
    <xf numFmtId="0" fontId="0" fillId="0" borderId="0" xfId="0"/>
    <xf numFmtId="0" fontId="16" fillId="0" borderId="0" xfId="0" applyFont="1"/>
    <xf numFmtId="0" fontId="14" fillId="0" borderId="0" xfId="0" applyFont="1" applyBorder="1" applyAlignment="1"/>
    <xf numFmtId="0" fontId="0" fillId="0" borderId="0" xfId="0" applyBorder="1" applyAlignment="1"/>
    <xf numFmtId="0" fontId="15" fillId="0" borderId="0" xfId="0" applyFont="1" applyBorder="1" applyAlignment="1"/>
    <xf numFmtId="0" fontId="13" fillId="0" borderId="0" xfId="0" applyFont="1" applyFill="1" applyBorder="1" applyAlignment="1">
      <alignment vertical="center"/>
    </xf>
    <xf numFmtId="0" fontId="0" fillId="0" borderId="0" xfId="0"/>
    <xf numFmtId="44" fontId="0" fillId="0" borderId="1" xfId="4" applyFont="1" applyBorder="1"/>
    <xf numFmtId="0" fontId="10" fillId="0" borderId="40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44" fontId="0" fillId="0" borderId="3" xfId="4" applyFont="1" applyBorder="1"/>
    <xf numFmtId="44" fontId="0" fillId="0" borderId="6" xfId="4" applyFont="1" applyBorder="1"/>
    <xf numFmtId="0" fontId="10" fillId="0" borderId="40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44" fontId="0" fillId="0" borderId="5" xfId="4" applyFont="1" applyBorder="1"/>
    <xf numFmtId="0" fontId="0" fillId="0" borderId="6" xfId="0" applyBorder="1"/>
    <xf numFmtId="0" fontId="10" fillId="0" borderId="42" xfId="0" applyFont="1" applyFill="1" applyBorder="1" applyAlignment="1">
      <alignment horizontal="center" vertical="center"/>
    </xf>
    <xf numFmtId="9" fontId="0" fillId="0" borderId="1" xfId="5" applyFont="1" applyBorder="1" applyAlignment="1">
      <alignment horizontal="center" vertical="center"/>
    </xf>
    <xf numFmtId="9" fontId="0" fillId="0" borderId="5" xfId="5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44" fontId="0" fillId="0" borderId="0" xfId="4" applyFont="1" applyAlignment="1">
      <alignment horizontal="center" vertical="center"/>
    </xf>
    <xf numFmtId="44" fontId="0" fillId="0" borderId="19" xfId="4" applyFont="1" applyBorder="1" applyAlignment="1">
      <alignment horizontal="center" vertical="center"/>
    </xf>
    <xf numFmtId="44" fontId="0" fillId="0" borderId="22" xfId="4" applyFont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6" borderId="32" xfId="0" applyFont="1" applyFill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2" fillId="0" borderId="32" xfId="0" applyFont="1" applyBorder="1" applyAlignment="1">
      <alignment horizontal="center"/>
    </xf>
    <xf numFmtId="0" fontId="14" fillId="0" borderId="38" xfId="0" applyFont="1" applyBorder="1"/>
    <xf numFmtId="0" fontId="0" fillId="0" borderId="0" xfId="0"/>
    <xf numFmtId="0" fontId="14" fillId="0" borderId="39" xfId="0" applyFont="1" applyBorder="1"/>
    <xf numFmtId="0" fontId="13" fillId="6" borderId="24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5" fillId="0" borderId="0" xfId="0" applyNumberFormat="1" applyFont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0" xfId="0" applyNumberFormat="1" applyFont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13" xfId="2" applyBorder="1" applyAlignment="1">
      <alignment horizontal="center" vertical="center"/>
    </xf>
    <xf numFmtId="0" fontId="7" fillId="3" borderId="14" xfId="2" applyBorder="1" applyAlignment="1">
      <alignment horizontal="center" vertical="center"/>
    </xf>
    <xf numFmtId="0" fontId="7" fillId="3" borderId="15" xfId="2" applyBorder="1" applyAlignment="1">
      <alignment horizontal="center" vertical="center"/>
    </xf>
  </cellXfs>
  <cellStyles count="6">
    <cellStyle name="Cabeçalho Meteora" xfId="3" xr:uid="{43DBFFA1-791E-423B-B2A6-377CC2810274}"/>
    <cellStyle name="Ênfase4" xfId="1" builtinId="41" customBuiltin="1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1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CCCC"/>
      <color rgb="FFDAFF01"/>
      <color rgb="FFF87F46"/>
      <color rgb="FFEE6471"/>
      <color rgb="FF9353FF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[E-commerce_Meteora_v1.2_DASHBOARD.xlsx]Planilha3!Tabela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Graficos'!$A$3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62-4A61-8415-823DFCDD1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2-4A61-8415-823DFCDD1036}"/>
              </c:ext>
            </c:extLst>
          </c:dPt>
          <c:val>
            <c:numRef>
              <c:f>'Dados para Graficos'!$B$3:$C$3</c:f>
              <c:numCache>
                <c:formatCode>0%</c:formatCode>
                <c:ptCount val="2"/>
                <c:pt idx="0">
                  <c:v>0.36720571955425246</c:v>
                </c:pt>
                <c:pt idx="1">
                  <c:v>0.63279428044574759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BAE-9D11-E8DDD18E6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Graficos'!$A$4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1F-4FB3-A071-97B2C1EC4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F-4FB3-A071-97B2C1EC449E}"/>
              </c:ext>
            </c:extLst>
          </c:dPt>
          <c:val>
            <c:numRef>
              <c:f>'Dados para Graficos'!$B$4:$C$4</c:f>
              <c:numCache>
                <c:formatCode>0%</c:formatCode>
                <c:ptCount val="2"/>
                <c:pt idx="0">
                  <c:v>0.24551524799729466</c:v>
                </c:pt>
                <c:pt idx="1">
                  <c:v>0.75448475200270537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C-4AB3-93E4-58E5001D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Graficos'!$A$5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44-429F-9032-B9954CB66D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44-429F-9032-B9954CB66DAD}"/>
              </c:ext>
            </c:extLst>
          </c:dPt>
          <c:val>
            <c:numRef>
              <c:f>'Dados para Graficos'!$B$5:$C$5</c:f>
              <c:numCache>
                <c:formatCode>0%</c:formatCode>
                <c:ptCount val="2"/>
                <c:pt idx="0">
                  <c:v>0.38727903244845285</c:v>
                </c:pt>
                <c:pt idx="1">
                  <c:v>0.61272096755154715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B-43A9-9A1E-7BC38735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4514837398539"/>
          <c:y val="4.1138396764622713E-2"/>
          <c:w val="0.78718778919459587"/>
          <c:h val="0.89092183075379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para Graficos'!$N$2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Graficos'!$K$3:$K$5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Graficos'!$N$3:$N$5</c:f>
              <c:numCache>
                <c:formatCode>_("R$"* #,##0.00_);_("R$"* \(#,##0.00\);_("R$"* "-"??_);_(@_)</c:formatCode>
                <c:ptCount val="3"/>
                <c:pt idx="0">
                  <c:v>3033.2000000000007</c:v>
                </c:pt>
                <c:pt idx="1">
                  <c:v>4356.7000000000007</c:v>
                </c:pt>
                <c:pt idx="2">
                  <c:v>23955.200000000001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4-4B31-A0F3-2516A07A6F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57287999"/>
        <c:axId val="757278879"/>
      </c:barChart>
      <c:catAx>
        <c:axId val="75728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7278879"/>
        <c:crosses val="autoZero"/>
        <c:auto val="1"/>
        <c:lblAlgn val="ctr"/>
        <c:lblOffset val="100"/>
        <c:noMultiLvlLbl val="0"/>
      </c:catAx>
      <c:valAx>
        <c:axId val="7572788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728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'Dados para Graficos'!$H$2</c:f>
              <c:strCache>
                <c:ptCount val="1"/>
                <c:pt idx="0">
                  <c:v>Faturamento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dLbls>
            <c:delete val="1"/>
          </c:dLbls>
          <c:cat>
            <c:strRef>
              <c:f>'Dados para Graficos'!$G$3:$G$14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para Graficos'!$H$3:$H$14</c:f>
              <c:numCache>
                <c:formatCode>_("R$"* #,##0.00_);_("R$"* \(#,##0.00\);_("R$"* "-"??_);_(@_)</c:formatCode>
                <c:ptCount val="12"/>
                <c:pt idx="0">
                  <c:v>2278.6</c:v>
                </c:pt>
                <c:pt idx="1">
                  <c:v>1778.8999999999999</c:v>
                </c:pt>
                <c:pt idx="2">
                  <c:v>2825.4</c:v>
                </c:pt>
                <c:pt idx="3">
                  <c:v>4249.2</c:v>
                </c:pt>
                <c:pt idx="4">
                  <c:v>2968.5</c:v>
                </c:pt>
                <c:pt idx="5">
                  <c:v>3299.2</c:v>
                </c:pt>
                <c:pt idx="6">
                  <c:v>1831.6000000000001</c:v>
                </c:pt>
                <c:pt idx="7">
                  <c:v>2048.5</c:v>
                </c:pt>
                <c:pt idx="8">
                  <c:v>1891.4</c:v>
                </c:pt>
                <c:pt idx="9">
                  <c:v>3782.7000000000003</c:v>
                </c:pt>
                <c:pt idx="10">
                  <c:v>1738.7</c:v>
                </c:pt>
                <c:pt idx="11">
                  <c:v>2652.4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1-4D57-AC01-77D7742CF9F2}"/>
            </c:ext>
          </c:extLst>
        </c:ser>
        <c:ser>
          <c:idx val="1"/>
          <c:order val="1"/>
          <c:tx>
            <c:strRef>
              <c:f>'Dados para Graficos'!$I$2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Graficos'!$G$3:$G$14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para Graficos'!$I$3:$I$14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  <c:pt idx="6">
                  <c:v>14</c:v>
                </c:pt>
                <c:pt idx="7">
                  <c:v>15</c:v>
                </c:pt>
                <c:pt idx="8">
                  <c:v>26</c:v>
                </c:pt>
                <c:pt idx="9">
                  <c:v>28</c:v>
                </c:pt>
                <c:pt idx="10">
                  <c:v>17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1-4D57-AC01-77D7742CF9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42300911"/>
        <c:axId val="1342301871"/>
      </c:areaChart>
      <c:catAx>
        <c:axId val="134230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301871"/>
        <c:crosses val="autoZero"/>
        <c:auto val="1"/>
        <c:lblAlgn val="ctr"/>
        <c:lblOffset val="100"/>
        <c:noMultiLvlLbl val="0"/>
      </c:catAx>
      <c:valAx>
        <c:axId val="13423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30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976590376030644E-2"/>
          <c:y val="0.26596564331748213"/>
          <c:w val="0.83870958431061049"/>
          <c:h val="0.64185915209220212"/>
        </c:manualLayout>
      </c:layout>
      <c:doughnutChart>
        <c:varyColors val="1"/>
        <c:ser>
          <c:idx val="0"/>
          <c:order val="0"/>
          <c:tx>
            <c:strRef>
              <c:f>'Dados para Graficos'!$A$3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FE-4CCD-8DF0-AD0D0DAD870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FE-4CCD-8DF0-AD0D0DAD8708}"/>
              </c:ext>
            </c:extLst>
          </c:dPt>
          <c:dLbls>
            <c:delete val="1"/>
          </c:dLbls>
          <c:val>
            <c:numRef>
              <c:f>'Dados para Graficos'!$B$3:$C$3</c:f>
              <c:numCache>
                <c:formatCode>0%</c:formatCode>
                <c:ptCount val="2"/>
                <c:pt idx="0">
                  <c:v>0.36720571955425246</c:v>
                </c:pt>
                <c:pt idx="1">
                  <c:v>0.63279428044574759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E-4CCD-8DF0-AD0D0DAD87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Graficos'!$A$4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EC-4DC7-82C2-440798E13146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EC-4DC7-82C2-440798E13146}"/>
              </c:ext>
            </c:extLst>
          </c:dPt>
          <c:dLbls>
            <c:delete val="1"/>
          </c:dLbls>
          <c:val>
            <c:numRef>
              <c:f>'Dados para Graficos'!$B$4:$C$4</c:f>
              <c:numCache>
                <c:formatCode>0%</c:formatCode>
                <c:ptCount val="2"/>
                <c:pt idx="0">
                  <c:v>0.24551524799729466</c:v>
                </c:pt>
                <c:pt idx="1">
                  <c:v>0.75448475200270537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C-4DC7-82C2-440798E1314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Graficos'!$A$5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5D-4879-B756-BBC1807F088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5D-4879-B756-BBC1807F0888}"/>
              </c:ext>
            </c:extLst>
          </c:dPt>
          <c:dLbls>
            <c:delete val="1"/>
          </c:dLbls>
          <c:val>
            <c:numRef>
              <c:f>'Dados para Graficos'!$B$5:$C$5</c:f>
              <c:numCache>
                <c:formatCode>0%</c:formatCode>
                <c:ptCount val="2"/>
                <c:pt idx="0">
                  <c:v>0.38727903244845285</c:v>
                </c:pt>
                <c:pt idx="1">
                  <c:v>0.61272096755154715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5D-4879-B756-BBC1807F08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99055853452037"/>
          <c:y val="2.9737238472822673E-2"/>
          <c:w val="0.84024239936372724"/>
          <c:h val="0.89092183075379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para Graficos'!$D$2</c:f>
              <c:strCache>
                <c:ptCount val="1"/>
                <c:pt idx="0">
                  <c:v>Dados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Graficos'!$A$3:$A$5</c:f>
              <c:strCache>
                <c:ptCount val="3"/>
                <c:pt idx="0">
                  <c:v>Clara</c:v>
                </c:pt>
                <c:pt idx="1">
                  <c:v>João</c:v>
                </c:pt>
                <c:pt idx="2">
                  <c:v>Sarah</c:v>
                </c:pt>
              </c:strCache>
            </c:strRef>
          </c:cat>
          <c:val>
            <c:numRef>
              <c:f>'Dados para Graficos'!$D$3:$D$5</c:f>
              <c:numCache>
                <c:formatCode>_("R$"* #,##0.00_);_("R$"* \(#,##0.00\);_("R$"* "-"??_);_(@_)</c:formatCode>
                <c:ptCount val="3"/>
                <c:pt idx="0">
                  <c:v>11510.099999999999</c:v>
                </c:pt>
                <c:pt idx="1">
                  <c:v>7695.7000000000007</c:v>
                </c:pt>
                <c:pt idx="2">
                  <c:v>12139.3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4-4858-9ADC-A66804D6EB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57287999"/>
        <c:axId val="757278879"/>
      </c:barChart>
      <c:catAx>
        <c:axId val="75728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7278879"/>
        <c:crosses val="autoZero"/>
        <c:auto val="1"/>
        <c:lblAlgn val="ctr"/>
        <c:lblOffset val="100"/>
        <c:noMultiLvlLbl val="0"/>
      </c:catAx>
      <c:valAx>
        <c:axId val="7572788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728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para Graficos'!$H$2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CCCCC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elete val="1"/>
          </c:dLbls>
          <c:cat>
            <c:strRef>
              <c:f>'Dados para Graficos'!$G$3:$G$14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para Graficos'!$H$3:$H$14</c:f>
              <c:numCache>
                <c:formatCode>_("R$"* #,##0.00_);_("R$"* \(#,##0.00\);_("R$"* "-"??_);_(@_)</c:formatCode>
                <c:ptCount val="12"/>
                <c:pt idx="0">
                  <c:v>2278.6</c:v>
                </c:pt>
                <c:pt idx="1">
                  <c:v>1778.8999999999999</c:v>
                </c:pt>
                <c:pt idx="2">
                  <c:v>2825.4</c:v>
                </c:pt>
                <c:pt idx="3">
                  <c:v>4249.2</c:v>
                </c:pt>
                <c:pt idx="4">
                  <c:v>2968.5</c:v>
                </c:pt>
                <c:pt idx="5">
                  <c:v>3299.2</c:v>
                </c:pt>
                <c:pt idx="6">
                  <c:v>1831.6000000000001</c:v>
                </c:pt>
                <c:pt idx="7">
                  <c:v>2048.5</c:v>
                </c:pt>
                <c:pt idx="8">
                  <c:v>1891.4</c:v>
                </c:pt>
                <c:pt idx="9">
                  <c:v>3782.7000000000003</c:v>
                </c:pt>
                <c:pt idx="10">
                  <c:v>1738.7</c:v>
                </c:pt>
                <c:pt idx="11">
                  <c:v>2652.4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6-464F-8FEC-3C77B5EFB8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2300911"/>
        <c:axId val="1342301871"/>
      </c:barChart>
      <c:lineChart>
        <c:grouping val="standard"/>
        <c:varyColors val="0"/>
        <c:ser>
          <c:idx val="1"/>
          <c:order val="1"/>
          <c:tx>
            <c:strRef>
              <c:f>'Dados para Graficos'!$I$2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Graficos'!$G$3:$G$14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para Graficos'!$I$3:$I$14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31</c:v>
                </c:pt>
                <c:pt idx="6">
                  <c:v>14</c:v>
                </c:pt>
                <c:pt idx="7">
                  <c:v>15</c:v>
                </c:pt>
                <c:pt idx="8">
                  <c:v>26</c:v>
                </c:pt>
                <c:pt idx="9">
                  <c:v>28</c:v>
                </c:pt>
                <c:pt idx="10">
                  <c:v>17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6-464F-8FEC-3C77B5EFB8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2301391"/>
        <c:axId val="1342294671"/>
      </c:lineChart>
      <c:catAx>
        <c:axId val="134230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301871"/>
        <c:crosses val="autoZero"/>
        <c:auto val="1"/>
        <c:lblAlgn val="ctr"/>
        <c:lblOffset val="100"/>
        <c:noMultiLvlLbl val="0"/>
      </c:catAx>
      <c:valAx>
        <c:axId val="13423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300911"/>
        <c:crosses val="autoZero"/>
        <c:crossBetween val="between"/>
      </c:valAx>
      <c:valAx>
        <c:axId val="13422946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301391"/>
        <c:crosses val="max"/>
        <c:crossBetween val="between"/>
      </c:valAx>
      <c:catAx>
        <c:axId val="134230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2294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Graficos'!$K$3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2E-4188-9BF3-11EFAA6623C7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2E-4188-9BF3-11EFAA6623C7}"/>
              </c:ext>
            </c:extLst>
          </c:dPt>
          <c:dLbls>
            <c:delete val="1"/>
          </c:dLbls>
          <c:val>
            <c:numRef>
              <c:f>'Dados para Graficos'!$L$3:$M$3</c:f>
              <c:numCache>
                <c:formatCode>0%</c:formatCode>
                <c:ptCount val="2"/>
                <c:pt idx="0">
                  <c:v>9.6767915878398877E-2</c:v>
                </c:pt>
                <c:pt idx="1">
                  <c:v>0.90323208412160116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2E-4188-9BF3-11EFAA6623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Graficos'!$K$4</c:f>
              <c:strCache>
                <c:ptCount val="1"/>
                <c:pt idx="0">
                  <c:v>Calçados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F2-4870-AAEE-2EC81578254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F2-4870-AAEE-2EC81578254D}"/>
              </c:ext>
            </c:extLst>
          </c:dPt>
          <c:dLbls>
            <c:delete val="1"/>
          </c:dLbls>
          <c:val>
            <c:numRef>
              <c:f>'Dados para Graficos'!$L$4:$M$4</c:f>
              <c:numCache>
                <c:formatCode>0%</c:formatCode>
                <c:ptCount val="2"/>
                <c:pt idx="0">
                  <c:v>0.13899142130667952</c:v>
                </c:pt>
                <c:pt idx="1">
                  <c:v>0.86100857869332048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F2-4870-AAEE-2EC81578254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Graficos'!$K$5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2A-4E0F-A66F-443E2D3543F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2A-4E0F-A66F-443E2D3543F3}"/>
              </c:ext>
            </c:extLst>
          </c:dPt>
          <c:dLbls>
            <c:delete val="1"/>
          </c:dLbls>
          <c:val>
            <c:numRef>
              <c:f>'Dados para Graficos'!$L$5:$M$5</c:f>
              <c:numCache>
                <c:formatCode>0%</c:formatCode>
                <c:ptCount val="2"/>
                <c:pt idx="0">
                  <c:v>0.76424066281492165</c:v>
                </c:pt>
                <c:pt idx="1">
                  <c:v>0.23575933718507835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A-4E0F-A66F-443E2D3543F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0455" cy="60132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342265</xdr:colOff>
      <xdr:row>5</xdr:row>
      <xdr:rowOff>145415</xdr:rowOff>
    </xdr:from>
    <xdr:to>
      <xdr:col>1</xdr:col>
      <xdr:colOff>694689</xdr:colOff>
      <xdr:row>12</xdr:row>
      <xdr:rowOff>88900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A7E56B-F554-B17A-6FAA-18E470AF6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148591</xdr:colOff>
      <xdr:row>5</xdr:row>
      <xdr:rowOff>161925</xdr:rowOff>
    </xdr:from>
    <xdr:to>
      <xdr:col>3</xdr:col>
      <xdr:colOff>601346</xdr:colOff>
      <xdr:row>12</xdr:row>
      <xdr:rowOff>169545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DBA88A-27A8-F727-EA15-589FEE9BD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13</xdr:row>
      <xdr:rowOff>113665</xdr:rowOff>
    </xdr:from>
    <xdr:to>
      <xdr:col>2</xdr:col>
      <xdr:colOff>108585</xdr:colOff>
      <xdr:row>22</xdr:row>
      <xdr:rowOff>65405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EEA874-36EF-AB6B-5543-15A159FDB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9337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F08B8D9A-716F-4E1E-9217-636F152C77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43840"/>
          <a:ext cx="2933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3</xdr:col>
      <xdr:colOff>120650</xdr:colOff>
      <xdr:row>27</xdr:row>
      <xdr:rowOff>34462</xdr:rowOff>
    </xdr:from>
    <xdr:to>
      <xdr:col>39</xdr:col>
      <xdr:colOff>118342</xdr:colOff>
      <xdr:row>45</xdr:row>
      <xdr:rowOff>90632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D6DBF611-30F6-42E3-97CE-96728076C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20263</xdr:rowOff>
    </xdr:from>
    <xdr:to>
      <xdr:col>80</xdr:col>
      <xdr:colOff>0</xdr:colOff>
      <xdr:row>24</xdr:row>
      <xdr:rowOff>1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A04BEBC9-7AAF-4FE7-A01D-1B60A8E9B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38101</xdr:colOff>
      <xdr:row>26</xdr:row>
      <xdr:rowOff>111169</xdr:rowOff>
    </xdr:from>
    <xdr:to>
      <xdr:col>54</xdr:col>
      <xdr:colOff>93980</xdr:colOff>
      <xdr:row>45</xdr:row>
      <xdr:rowOff>82367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0F93D8-156F-4451-8435-F6FCBD42E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54</xdr:col>
      <xdr:colOff>106045</xdr:colOff>
      <xdr:row>26</xdr:row>
      <xdr:rowOff>111760</xdr:rowOff>
    </xdr:from>
    <xdr:to>
      <xdr:col>67</xdr:col>
      <xdr:colOff>39370</xdr:colOff>
      <xdr:row>45</xdr:row>
      <xdr:rowOff>83185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445F92-505D-4050-AECC-2123725C2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38101</xdr:colOff>
      <xdr:row>26</xdr:row>
      <xdr:rowOff>102844</xdr:rowOff>
    </xdr:from>
    <xdr:to>
      <xdr:col>80</xdr:col>
      <xdr:colOff>25401</xdr:colOff>
      <xdr:row>45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90975D4-27A8-4C43-97E4-D80735DF75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124460</xdr:colOff>
      <xdr:row>35</xdr:row>
      <xdr:rowOff>48260</xdr:rowOff>
    </xdr:from>
    <xdr:to>
      <xdr:col>51</xdr:col>
      <xdr:colOff>20320</xdr:colOff>
      <xdr:row>40</xdr:row>
      <xdr:rowOff>58420</xdr:rowOff>
    </xdr:to>
    <xdr:sp macro="" textlink="'Dados para Graficos'!L3">
      <xdr:nvSpPr>
        <xdr:cNvPr id="8" name="CaixaDeTexto 7">
          <a:extLst>
            <a:ext uri="{FF2B5EF4-FFF2-40B4-BE49-F238E27FC236}">
              <a16:creationId xmlns:a16="http://schemas.microsoft.com/office/drawing/2014/main" id="{7DBDEF12-8405-496A-9B95-17B3E844BF8D}"/>
            </a:ext>
          </a:extLst>
        </xdr:cNvPr>
        <xdr:cNvSpPr txBox="1"/>
      </xdr:nvSpPr>
      <xdr:spPr>
        <a:xfrm>
          <a:off x="6410960" y="4271010"/>
          <a:ext cx="734060" cy="613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05E765-12ED-4385-B28E-A4407C6144CB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10%</a:t>
          </a:fld>
          <a:endParaRPr lang="pt-BR" sz="3600" b="1">
            <a:ln>
              <a:noFill/>
            </a:ln>
          </a:endParaRPr>
        </a:p>
      </xdr:txBody>
    </xdr:sp>
    <xdr:clientData/>
  </xdr:twoCellAnchor>
  <xdr:twoCellAnchor>
    <xdr:from>
      <xdr:col>58</xdr:col>
      <xdr:colOff>58420</xdr:colOff>
      <xdr:row>35</xdr:row>
      <xdr:rowOff>33020</xdr:rowOff>
    </xdr:from>
    <xdr:to>
      <xdr:col>63</xdr:col>
      <xdr:colOff>93980</xdr:colOff>
      <xdr:row>40</xdr:row>
      <xdr:rowOff>43180</xdr:rowOff>
    </xdr:to>
    <xdr:sp macro="" textlink="'Dados para Graficos'!L4">
      <xdr:nvSpPr>
        <xdr:cNvPr id="9" name="CaixaDeTexto 8">
          <a:extLst>
            <a:ext uri="{FF2B5EF4-FFF2-40B4-BE49-F238E27FC236}">
              <a16:creationId xmlns:a16="http://schemas.microsoft.com/office/drawing/2014/main" id="{D500E235-40B5-45E0-91E1-46278CA75CAD}"/>
            </a:ext>
          </a:extLst>
        </xdr:cNvPr>
        <xdr:cNvSpPr txBox="1"/>
      </xdr:nvSpPr>
      <xdr:spPr>
        <a:xfrm>
          <a:off x="8161020" y="4255770"/>
          <a:ext cx="734060" cy="613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1E62EC-9662-4E1E-8A01-DF4D2B85169B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14%</a:t>
          </a:fld>
          <a:endParaRPr lang="pt-BR" sz="5400" b="1">
            <a:ln>
              <a:noFill/>
            </a:ln>
          </a:endParaRPr>
        </a:p>
      </xdr:txBody>
    </xdr:sp>
    <xdr:clientData/>
  </xdr:twoCellAnchor>
  <xdr:twoCellAnchor>
    <xdr:from>
      <xdr:col>71</xdr:col>
      <xdr:colOff>43180</xdr:colOff>
      <xdr:row>35</xdr:row>
      <xdr:rowOff>12700</xdr:rowOff>
    </xdr:from>
    <xdr:to>
      <xdr:col>76</xdr:col>
      <xdr:colOff>78740</xdr:colOff>
      <xdr:row>40</xdr:row>
      <xdr:rowOff>22860</xdr:rowOff>
    </xdr:to>
    <xdr:sp macro="" textlink="'Dados para Graficos'!L5">
      <xdr:nvSpPr>
        <xdr:cNvPr id="10" name="CaixaDeTexto 9">
          <a:extLst>
            <a:ext uri="{FF2B5EF4-FFF2-40B4-BE49-F238E27FC236}">
              <a16:creationId xmlns:a16="http://schemas.microsoft.com/office/drawing/2014/main" id="{C10EF4AB-EDB2-465A-83B1-B97A27148646}"/>
            </a:ext>
          </a:extLst>
        </xdr:cNvPr>
        <xdr:cNvSpPr txBox="1"/>
      </xdr:nvSpPr>
      <xdr:spPr>
        <a:xfrm>
          <a:off x="9961880" y="4235450"/>
          <a:ext cx="734060" cy="613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61CEB4-64CF-481C-AFA0-6013279EE956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76%</a:t>
          </a:fld>
          <a:endParaRPr lang="pt-BR" sz="5400" b="1">
            <a:ln>
              <a:noFill/>
            </a:ln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9337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23883E2B-542A-4A57-B8E8-0C3601CBCC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43840"/>
          <a:ext cx="2933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42</xdr:col>
      <xdr:colOff>18358</xdr:colOff>
      <xdr:row>27</xdr:row>
      <xdr:rowOff>21762</xdr:rowOff>
    </xdr:from>
    <xdr:to>
      <xdr:col>79</xdr:col>
      <xdr:colOff>86592</xdr:colOff>
      <xdr:row>45</xdr:row>
      <xdr:rowOff>77932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6FFDA97-21E1-AC32-16B1-EB08E9F3B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10</xdr:row>
      <xdr:rowOff>16453</xdr:rowOff>
    </xdr:from>
    <xdr:to>
      <xdr:col>80</xdr:col>
      <xdr:colOff>0</xdr:colOff>
      <xdr:row>24</xdr:row>
      <xdr:rowOff>1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88B9A886-3EC8-00CA-1B86-2236FC4F7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</xdr:colOff>
      <xdr:row>27</xdr:row>
      <xdr:rowOff>3219</xdr:rowOff>
    </xdr:from>
    <xdr:to>
      <xdr:col>14</xdr:col>
      <xdr:colOff>55880</xdr:colOff>
      <xdr:row>45</xdr:row>
      <xdr:rowOff>95067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9DC59D8C-9E4B-5B25-129B-C09E56AB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14</xdr:col>
      <xdr:colOff>67945</xdr:colOff>
      <xdr:row>26</xdr:row>
      <xdr:rowOff>124460</xdr:rowOff>
    </xdr:from>
    <xdr:to>
      <xdr:col>27</xdr:col>
      <xdr:colOff>1270</xdr:colOff>
      <xdr:row>45</xdr:row>
      <xdr:rowOff>95885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B96F137E-7360-A267-3213-63632F51F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26</xdr:row>
      <xdr:rowOff>115544</xdr:rowOff>
    </xdr:from>
    <xdr:to>
      <xdr:col>40</xdr:col>
      <xdr:colOff>3809</xdr:colOff>
      <xdr:row>45</xdr:row>
      <xdr:rowOff>115444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A5FD2531-2C9B-C569-D76F-2567F8F39D0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86360</xdr:colOff>
      <xdr:row>35</xdr:row>
      <xdr:rowOff>60960</xdr:rowOff>
    </xdr:from>
    <xdr:to>
      <xdr:col>10</xdr:col>
      <xdr:colOff>121920</xdr:colOff>
      <xdr:row>40</xdr:row>
      <xdr:rowOff>71120</xdr:rowOff>
    </xdr:to>
    <xdr:sp macro="" textlink="'Dados para Graficos'!L3">
      <xdr:nvSpPr>
        <xdr:cNvPr id="5" name="CaixaDeTexto 4">
          <a:extLst>
            <a:ext uri="{FF2B5EF4-FFF2-40B4-BE49-F238E27FC236}">
              <a16:creationId xmlns:a16="http://schemas.microsoft.com/office/drawing/2014/main" id="{19149544-69AA-4310-31D7-4D775AACF196}"/>
            </a:ext>
          </a:extLst>
        </xdr:cNvPr>
        <xdr:cNvSpPr txBox="1"/>
      </xdr:nvSpPr>
      <xdr:spPr>
        <a:xfrm>
          <a:off x="772160" y="4328160"/>
          <a:ext cx="721360" cy="619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05E765-12ED-4385-B28E-A4407C6144CB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10%</a:t>
          </a:fld>
          <a:endParaRPr lang="pt-BR" sz="3600" b="1">
            <a:ln>
              <a:noFill/>
            </a:ln>
          </a:endParaRPr>
        </a:p>
      </xdr:txBody>
    </xdr:sp>
    <xdr:clientData/>
  </xdr:twoCellAnchor>
  <xdr:twoCellAnchor>
    <xdr:from>
      <xdr:col>18</xdr:col>
      <xdr:colOff>20320</xdr:colOff>
      <xdr:row>35</xdr:row>
      <xdr:rowOff>45720</xdr:rowOff>
    </xdr:from>
    <xdr:to>
      <xdr:col>23</xdr:col>
      <xdr:colOff>55880</xdr:colOff>
      <xdr:row>40</xdr:row>
      <xdr:rowOff>55880</xdr:rowOff>
    </xdr:to>
    <xdr:sp macro="" textlink="'Dados para Graficos'!L4">
      <xdr:nvSpPr>
        <xdr:cNvPr id="9" name="CaixaDeTexto 8">
          <a:extLst>
            <a:ext uri="{FF2B5EF4-FFF2-40B4-BE49-F238E27FC236}">
              <a16:creationId xmlns:a16="http://schemas.microsoft.com/office/drawing/2014/main" id="{89CE9D7D-D294-4095-BC2E-0A75E380F00C}"/>
            </a:ext>
          </a:extLst>
        </xdr:cNvPr>
        <xdr:cNvSpPr txBox="1"/>
      </xdr:nvSpPr>
      <xdr:spPr>
        <a:xfrm>
          <a:off x="2489200" y="4312920"/>
          <a:ext cx="721360" cy="619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1E62EC-9662-4E1E-8A01-DF4D2B85169B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14%</a:t>
          </a:fld>
          <a:endParaRPr lang="pt-BR" sz="5400" b="1">
            <a:ln>
              <a:noFill/>
            </a:ln>
          </a:endParaRPr>
        </a:p>
      </xdr:txBody>
    </xdr:sp>
    <xdr:clientData/>
  </xdr:twoCellAnchor>
  <xdr:twoCellAnchor>
    <xdr:from>
      <xdr:col>31</xdr:col>
      <xdr:colOff>5080</xdr:colOff>
      <xdr:row>35</xdr:row>
      <xdr:rowOff>25400</xdr:rowOff>
    </xdr:from>
    <xdr:to>
      <xdr:col>36</xdr:col>
      <xdr:colOff>40640</xdr:colOff>
      <xdr:row>40</xdr:row>
      <xdr:rowOff>35560</xdr:rowOff>
    </xdr:to>
    <xdr:sp macro="" textlink="'Dados para Graficos'!L5">
      <xdr:nvSpPr>
        <xdr:cNvPr id="10" name="CaixaDeTexto 9">
          <a:extLst>
            <a:ext uri="{FF2B5EF4-FFF2-40B4-BE49-F238E27FC236}">
              <a16:creationId xmlns:a16="http://schemas.microsoft.com/office/drawing/2014/main" id="{6599EEF8-C477-4A31-A295-B7C0D2CF8C94}"/>
            </a:ext>
          </a:extLst>
        </xdr:cNvPr>
        <xdr:cNvSpPr txBox="1"/>
      </xdr:nvSpPr>
      <xdr:spPr>
        <a:xfrm>
          <a:off x="4257040" y="4292600"/>
          <a:ext cx="721360" cy="619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61CEB4-64CF-481C-AFA0-6013279EE956}" type="TxLink">
            <a:rPr lang="en-US" sz="1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76%</a:t>
          </a:fld>
          <a:endParaRPr lang="pt-BR" sz="5400" b="1">
            <a:ln>
              <a:noFill/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H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324" totalsRowShown="0" headerRowDxfId="20">
  <autoFilter ref="A3:G324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4:G324">
    <sortCondition ref="B4:B324"/>
  </sortState>
  <tableColumns count="7">
    <tableColumn id="1" xr3:uid="{2F8ED5FF-48A1-488E-9DF1-FE060F71A415}" name="Código" dataDxfId="19"/>
    <tableColumn id="2" xr3:uid="{E100D4E2-C3A0-43FF-A1D9-90A4BC2A9918}" name="Produtos" dataDxfId="18"/>
    <tableColumn id="3" xr3:uid="{2EF7FEE0-6B6F-4534-86A0-46B6555B7BEF}" name="Tamanho" dataDxfId="17"/>
    <tableColumn id="4" xr3:uid="{4435A4B8-E7F0-4D66-A4F8-6A9FEAA36D5A}" name="Categoria" dataDxfId="16"/>
    <tableColumn id="6" xr3:uid="{15F9CACC-A558-4A20-80CF-C2ADA2603221}" name="Estoque" dataDxfId="15"/>
    <tableColumn id="7" xr3:uid="{B97B352B-C8D9-423E-A1EF-305FCC745956}" name="Sintuação" dataDxfId="14">
      <calculatedColumnFormula>TB_Produtos[[#This Row],[Estoque]]</calculatedColumnFormula>
    </tableColumn>
    <tableColumn id="5" xr3:uid="{CA8AD0DE-58EC-4839-85FB-1DD75DA28087}" name="Preço Unitário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I120" totalsRowShown="0" headerRowDxfId="12" dataDxfId="11" headerRowCellStyle="Cabeçalho Meteora">
  <autoFilter ref="A2:I120" xr:uid="{AD739091-30BD-4C30-BDDA-7504C0C4B6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7" xr3:uid="{5E8DE7C3-CDB6-4314-A5CC-C44D3C21973F}" name="Mês" dataDxfId="10">
      <calculatedColumnFormula>MONTH(TB_Vendas[[#This Row],[Data]])</calculatedColumnFormula>
    </tableColumn>
    <tableColumn id="1" xr3:uid="{43632F1F-6978-4CE7-BB13-7CCE587D6821}" name="Data" dataDxfId="9"/>
    <tableColumn id="2" xr3:uid="{49DF5362-33BE-4541-BD47-0B512249381E}" name="Código" dataDxfId="8"/>
    <tableColumn id="3" xr3:uid="{B3C718A1-FEFF-4C65-9CA1-DF94EF755918}" name="Tamanho" dataDxfId="7">
      <calculatedColumnFormula>_xlfn.XLOOKUP(C3,TB_Produtos[Código],TB_Produtos[Tamanho])</calculatedColumnFormula>
    </tableColumn>
    <tableColumn id="4" xr3:uid="{1F3EAF93-84E7-4086-BE54-3AB7D71B21A8}" name="Categoria" dataDxfId="6"/>
    <tableColumn id="5" xr3:uid="{7DC2ADED-AF8A-4BC8-A38E-FEF676FE49C9}" name="Qtd" dataDxfId="5"/>
    <tableColumn id="9" xr3:uid="{B1110910-D63E-4C7A-929D-2243F707E91D}" name="Unt. Preço" dataDxfId="4" dataCellStyle="Moeda">
      <calculatedColumnFormula>_xlfn.XLOOKUP(TB_Vendas[[#This Row],[Código]],TB_Produtos[Código],TB_Produtos[Preço Unitário])</calculatedColumnFormula>
    </tableColumn>
    <tableColumn id="6" xr3:uid="{9459B662-6A4F-4486-82B1-12F67B8F842E}" name="Total" dataDxfId="3">
      <calculatedColumnFormula>TB_Vendas[[#This Row],[Unt. Preço]]*TB_Vendas[[#This Row],[Qtd]]</calculatedColumnFormula>
    </tableColumn>
    <tableColumn id="8" xr3:uid="{192FEBCA-1287-48A6-9BE6-69528F71C305}" name="Vended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4.4" x14ac:dyDescent="0.3"/>
  <cols>
    <col min="1" max="1" width="19.44140625" bestFit="1" customWidth="1"/>
    <col min="2" max="2" width="12.33203125" bestFit="1" customWidth="1"/>
  </cols>
  <sheetData>
    <row r="3" spans="1:2" x14ac:dyDescent="0.3">
      <c r="A3" s="21" t="s">
        <v>0</v>
      </c>
      <c r="B3" t="s">
        <v>19</v>
      </c>
    </row>
    <row r="4" spans="1:2" x14ac:dyDescent="0.3">
      <c r="A4" t="s">
        <v>5</v>
      </c>
      <c r="B4">
        <v>40</v>
      </c>
    </row>
    <row r="5" spans="1:2" x14ac:dyDescent="0.3">
      <c r="A5" t="s">
        <v>6</v>
      </c>
      <c r="B5">
        <v>11</v>
      </c>
    </row>
    <row r="6" spans="1:2" x14ac:dyDescent="0.3">
      <c r="A6" t="s">
        <v>9</v>
      </c>
      <c r="B6">
        <v>6</v>
      </c>
    </row>
    <row r="7" spans="1:2" x14ac:dyDescent="0.3">
      <c r="A7" t="s">
        <v>7</v>
      </c>
      <c r="B7">
        <v>21</v>
      </c>
    </row>
    <row r="8" spans="1:2" x14ac:dyDescent="0.3">
      <c r="A8" t="s">
        <v>21</v>
      </c>
      <c r="B8">
        <v>22</v>
      </c>
    </row>
    <row r="9" spans="1:2" x14ac:dyDescent="0.3">
      <c r="A9" t="s">
        <v>22</v>
      </c>
      <c r="B9">
        <v>28</v>
      </c>
    </row>
    <row r="10" spans="1:2" x14ac:dyDescent="0.3">
      <c r="A10" t="s">
        <v>23</v>
      </c>
      <c r="B10">
        <v>3</v>
      </c>
    </row>
    <row r="11" spans="1:2" x14ac:dyDescent="0.3">
      <c r="A11" t="s">
        <v>24</v>
      </c>
      <c r="B11">
        <v>2</v>
      </c>
    </row>
    <row r="12" spans="1:2" x14ac:dyDescent="0.3">
      <c r="A12" t="s">
        <v>25</v>
      </c>
      <c r="B12">
        <v>4</v>
      </c>
    </row>
    <row r="13" spans="1:2" x14ac:dyDescent="0.3">
      <c r="A13" t="s">
        <v>26</v>
      </c>
      <c r="B13">
        <v>4</v>
      </c>
    </row>
    <row r="14" spans="1:2" x14ac:dyDescent="0.3">
      <c r="A14" t="s">
        <v>27</v>
      </c>
      <c r="B14">
        <v>19</v>
      </c>
    </row>
    <row r="15" spans="1:2" x14ac:dyDescent="0.3">
      <c r="A15" t="s">
        <v>28</v>
      </c>
      <c r="B15">
        <v>6</v>
      </c>
    </row>
    <row r="16" spans="1:2" x14ac:dyDescent="0.3">
      <c r="A16" t="s">
        <v>29</v>
      </c>
      <c r="B16">
        <v>7</v>
      </c>
    </row>
    <row r="17" spans="1:2" x14ac:dyDescent="0.3">
      <c r="A17" t="s">
        <v>30</v>
      </c>
      <c r="B17">
        <v>10</v>
      </c>
    </row>
    <row r="18" spans="1:2" x14ac:dyDescent="0.3">
      <c r="A18" t="s">
        <v>31</v>
      </c>
      <c r="B18">
        <v>1</v>
      </c>
    </row>
    <row r="19" spans="1:2" x14ac:dyDescent="0.3">
      <c r="A19" t="s">
        <v>32</v>
      </c>
      <c r="B19">
        <v>9</v>
      </c>
    </row>
    <row r="20" spans="1:2" x14ac:dyDescent="0.3">
      <c r="A20" t="s">
        <v>33</v>
      </c>
      <c r="B20">
        <v>1</v>
      </c>
    </row>
    <row r="21" spans="1:2" x14ac:dyDescent="0.3">
      <c r="A21" t="s">
        <v>34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324"/>
  <sheetViews>
    <sheetView tabSelected="1" zoomScale="130" zoomScaleNormal="130" workbookViewId="0">
      <selection activeCell="D11" sqref="D11"/>
    </sheetView>
  </sheetViews>
  <sheetFormatPr defaultRowHeight="14.4" x14ac:dyDescent="0.3"/>
  <cols>
    <col min="1" max="1" width="11" bestFit="1" customWidth="1"/>
    <col min="2" max="2" width="33.109375" bestFit="1" customWidth="1"/>
    <col min="3" max="3" width="11.88671875" style="1" customWidth="1"/>
    <col min="4" max="4" width="16.88671875" bestFit="1" customWidth="1"/>
    <col min="5" max="6" width="12.33203125" customWidth="1"/>
    <col min="7" max="7" width="21.6640625" customWidth="1"/>
  </cols>
  <sheetData>
    <row r="1" spans="1:7" ht="25.05" customHeight="1" x14ac:dyDescent="0.3">
      <c r="A1" s="80" t="s">
        <v>15</v>
      </c>
      <c r="B1" s="80"/>
      <c r="C1" s="80"/>
      <c r="D1" s="80"/>
      <c r="E1" s="80"/>
      <c r="F1" s="80"/>
      <c r="G1" s="80"/>
    </row>
    <row r="2" spans="1:7" ht="4.5" customHeight="1" x14ac:dyDescent="0.4">
      <c r="A2" s="2"/>
      <c r="B2" s="2"/>
      <c r="C2" s="2"/>
      <c r="D2" s="2"/>
      <c r="E2" s="2"/>
      <c r="F2" s="2"/>
      <c r="G2" s="2"/>
    </row>
    <row r="3" spans="1:7" s="30" customFormat="1" ht="18" x14ac:dyDescent="0.3">
      <c r="A3" s="50" t="s">
        <v>41</v>
      </c>
      <c r="B3" s="50" t="s">
        <v>0</v>
      </c>
      <c r="C3" s="50" t="s">
        <v>1</v>
      </c>
      <c r="D3" s="50" t="s">
        <v>10</v>
      </c>
      <c r="E3" s="50" t="s">
        <v>88</v>
      </c>
      <c r="F3" s="50" t="s">
        <v>89</v>
      </c>
      <c r="G3" s="50" t="s">
        <v>11</v>
      </c>
    </row>
    <row r="4" spans="1:7" x14ac:dyDescent="0.3">
      <c r="A4" s="27" t="s">
        <v>43</v>
      </c>
      <c r="B4" s="46" t="s">
        <v>5</v>
      </c>
      <c r="C4" s="27" t="s">
        <v>2</v>
      </c>
      <c r="D4" s="49" t="s">
        <v>12</v>
      </c>
      <c r="E4" s="27">
        <v>12</v>
      </c>
      <c r="F4" s="27">
        <f>TB_Produtos[[#This Row],[Estoque]]</f>
        <v>12</v>
      </c>
      <c r="G4" s="47">
        <v>65.900000000000006</v>
      </c>
    </row>
    <row r="5" spans="1:7" x14ac:dyDescent="0.3">
      <c r="A5" s="27" t="s">
        <v>44</v>
      </c>
      <c r="B5" s="46" t="s">
        <v>5</v>
      </c>
      <c r="C5" s="27" t="s">
        <v>3</v>
      </c>
      <c r="D5" s="49" t="s">
        <v>12</v>
      </c>
      <c r="E5" s="27">
        <v>15</v>
      </c>
      <c r="F5" s="27">
        <f>TB_Produtos[[#This Row],[Estoque]]</f>
        <v>15</v>
      </c>
      <c r="G5" s="47">
        <v>69.900000000000006</v>
      </c>
    </row>
    <row r="6" spans="1:7" x14ac:dyDescent="0.3">
      <c r="A6" s="27" t="s">
        <v>45</v>
      </c>
      <c r="B6" s="46" t="s">
        <v>5</v>
      </c>
      <c r="C6" s="27" t="s">
        <v>4</v>
      </c>
      <c r="D6" s="49" t="s">
        <v>12</v>
      </c>
      <c r="E6" s="27">
        <v>5</v>
      </c>
      <c r="F6" s="27">
        <f>TB_Produtos[[#This Row],[Estoque]]</f>
        <v>5</v>
      </c>
      <c r="G6" s="47">
        <v>70.900000000000006</v>
      </c>
    </row>
    <row r="7" spans="1:7" x14ac:dyDescent="0.3">
      <c r="A7" s="27" t="s">
        <v>46</v>
      </c>
      <c r="B7" s="46" t="s">
        <v>5</v>
      </c>
      <c r="C7" s="27" t="s">
        <v>2</v>
      </c>
      <c r="D7" s="49" t="s">
        <v>12</v>
      </c>
      <c r="E7" s="27">
        <v>16</v>
      </c>
      <c r="F7" s="48">
        <f>TB_Produtos[[#This Row],[Estoque]]</f>
        <v>16</v>
      </c>
      <c r="G7" s="28">
        <v>65.900000000000006</v>
      </c>
    </row>
    <row r="8" spans="1:7" x14ac:dyDescent="0.3">
      <c r="A8" s="27" t="s">
        <v>47</v>
      </c>
      <c r="B8" s="46" t="s">
        <v>5</v>
      </c>
      <c r="C8" s="27" t="s">
        <v>3</v>
      </c>
      <c r="D8" s="49" t="s">
        <v>12</v>
      </c>
      <c r="E8" s="27">
        <v>17</v>
      </c>
      <c r="F8" s="48">
        <f>TB_Produtos[[#This Row],[Estoque]]</f>
        <v>17</v>
      </c>
      <c r="G8" s="28">
        <v>69.900000000000006</v>
      </c>
    </row>
    <row r="9" spans="1:7" x14ac:dyDescent="0.3">
      <c r="A9" s="27" t="s">
        <v>48</v>
      </c>
      <c r="B9" s="46" t="s">
        <v>5</v>
      </c>
      <c r="C9" s="27" t="s">
        <v>4</v>
      </c>
      <c r="D9" s="49" t="s">
        <v>12</v>
      </c>
      <c r="E9" s="27">
        <v>18</v>
      </c>
      <c r="F9" s="48">
        <f>TB_Produtos[[#This Row],[Estoque]]</f>
        <v>18</v>
      </c>
      <c r="G9" s="28">
        <v>70.900000000000006</v>
      </c>
    </row>
    <row r="10" spans="1:7" x14ac:dyDescent="0.3">
      <c r="A10" s="27" t="s">
        <v>49</v>
      </c>
      <c r="B10" s="46" t="s">
        <v>90</v>
      </c>
      <c r="C10" s="27">
        <v>42</v>
      </c>
      <c r="D10" s="49" t="s">
        <v>91</v>
      </c>
      <c r="E10" s="27">
        <v>19</v>
      </c>
      <c r="F10" s="48">
        <f>TB_Produtos[[#This Row],[Estoque]]</f>
        <v>19</v>
      </c>
      <c r="G10" s="29">
        <v>89.9</v>
      </c>
    </row>
    <row r="11" spans="1:7" x14ac:dyDescent="0.3">
      <c r="A11" s="27" t="s">
        <v>50</v>
      </c>
      <c r="B11" s="46" t="s">
        <v>92</v>
      </c>
      <c r="C11" s="27" t="s">
        <v>4</v>
      </c>
      <c r="D11" s="49" t="s">
        <v>91</v>
      </c>
      <c r="E11" s="27">
        <v>20</v>
      </c>
      <c r="F11" s="48">
        <f>TB_Produtos[[#This Row],[Estoque]]</f>
        <v>20</v>
      </c>
      <c r="G11" s="29">
        <v>75</v>
      </c>
    </row>
    <row r="12" spans="1:7" x14ac:dyDescent="0.3">
      <c r="A12" s="27" t="s">
        <v>51</v>
      </c>
      <c r="B12" s="46" t="s">
        <v>93</v>
      </c>
      <c r="C12" s="27">
        <v>40</v>
      </c>
      <c r="D12" s="49" t="s">
        <v>91</v>
      </c>
      <c r="E12" s="27">
        <v>21</v>
      </c>
      <c r="F12" s="48">
        <f>TB_Produtos[[#This Row],[Estoque]]</f>
        <v>21</v>
      </c>
      <c r="G12" s="29">
        <v>109.9</v>
      </c>
    </row>
    <row r="13" spans="1:7" x14ac:dyDescent="0.3">
      <c r="A13" s="27" t="s">
        <v>52</v>
      </c>
      <c r="B13" s="46" t="s">
        <v>94</v>
      </c>
      <c r="C13" s="27">
        <v>40</v>
      </c>
      <c r="D13" s="49" t="s">
        <v>91</v>
      </c>
      <c r="E13" s="27">
        <v>22</v>
      </c>
      <c r="F13" s="48">
        <f>TB_Produtos[[#This Row],[Estoque]]</f>
        <v>22</v>
      </c>
      <c r="G13" s="29">
        <v>109.9</v>
      </c>
    </row>
    <row r="14" spans="1:7" x14ac:dyDescent="0.3">
      <c r="A14" s="27" t="s">
        <v>53</v>
      </c>
      <c r="B14" s="46" t="s">
        <v>94</v>
      </c>
      <c r="C14" s="27">
        <v>42</v>
      </c>
      <c r="D14" s="49" t="s">
        <v>91</v>
      </c>
      <c r="E14" s="27">
        <v>23</v>
      </c>
      <c r="F14" s="48">
        <f>TB_Produtos[[#This Row],[Estoque]]</f>
        <v>23</v>
      </c>
      <c r="G14" s="29">
        <v>109.9</v>
      </c>
    </row>
    <row r="15" spans="1:7" x14ac:dyDescent="0.3">
      <c r="A15" s="27" t="s">
        <v>54</v>
      </c>
      <c r="B15" s="46" t="s">
        <v>95</v>
      </c>
      <c r="C15" s="27" t="s">
        <v>3</v>
      </c>
      <c r="D15" s="49" t="s">
        <v>96</v>
      </c>
      <c r="E15" s="27">
        <v>24</v>
      </c>
      <c r="F15" s="48">
        <f>TB_Produtos[[#This Row],[Estoque]]</f>
        <v>24</v>
      </c>
      <c r="G15" s="29">
        <v>219.9</v>
      </c>
    </row>
    <row r="16" spans="1:7" x14ac:dyDescent="0.3">
      <c r="A16" s="27" t="s">
        <v>55</v>
      </c>
      <c r="B16" s="46" t="s">
        <v>95</v>
      </c>
      <c r="C16" s="27" t="s">
        <v>4</v>
      </c>
      <c r="D16" s="49" t="s">
        <v>96</v>
      </c>
      <c r="E16" s="27">
        <v>25</v>
      </c>
      <c r="F16" s="48">
        <f>TB_Produtos[[#This Row],[Estoque]]</f>
        <v>25</v>
      </c>
      <c r="G16" s="29">
        <v>219.9</v>
      </c>
    </row>
    <row r="17" spans="1:7" x14ac:dyDescent="0.3">
      <c r="A17" s="27" t="s">
        <v>56</v>
      </c>
      <c r="B17" s="46" t="s">
        <v>97</v>
      </c>
      <c r="C17" s="27" t="s">
        <v>2</v>
      </c>
      <c r="D17" s="49" t="s">
        <v>96</v>
      </c>
      <c r="E17" s="27">
        <v>26</v>
      </c>
      <c r="F17" s="48">
        <f>TB_Produtos[[#This Row],[Estoque]]</f>
        <v>26</v>
      </c>
      <c r="G17" s="29">
        <v>219.9</v>
      </c>
    </row>
    <row r="18" spans="1:7" x14ac:dyDescent="0.3">
      <c r="A18" s="27" t="s">
        <v>57</v>
      </c>
      <c r="B18" s="46" t="s">
        <v>98</v>
      </c>
      <c r="C18" s="27" t="s">
        <v>2</v>
      </c>
      <c r="D18" s="49" t="s">
        <v>96</v>
      </c>
      <c r="E18" s="27">
        <v>27</v>
      </c>
      <c r="F18" s="48">
        <f>TB_Produtos[[#This Row],[Estoque]]</f>
        <v>27</v>
      </c>
      <c r="G18" s="29">
        <v>249.9</v>
      </c>
    </row>
    <row r="19" spans="1:7" x14ac:dyDescent="0.3">
      <c r="A19" s="27" t="s">
        <v>58</v>
      </c>
      <c r="B19" s="46" t="s">
        <v>99</v>
      </c>
      <c r="C19" s="27" t="s">
        <v>3</v>
      </c>
      <c r="D19" s="49" t="s">
        <v>96</v>
      </c>
      <c r="E19" s="27">
        <v>28</v>
      </c>
      <c r="F19" s="48">
        <f>TB_Produtos[[#This Row],[Estoque]]</f>
        <v>28</v>
      </c>
      <c r="G19" s="29">
        <v>230</v>
      </c>
    </row>
    <row r="20" spans="1:7" x14ac:dyDescent="0.3">
      <c r="A20" s="27" t="s">
        <v>59</v>
      </c>
      <c r="B20" s="46" t="s">
        <v>100</v>
      </c>
      <c r="C20" s="27" t="s">
        <v>2</v>
      </c>
      <c r="D20" s="49" t="s">
        <v>101</v>
      </c>
      <c r="E20" s="27">
        <v>29</v>
      </c>
      <c r="F20" s="48">
        <f>TB_Produtos[[#This Row],[Estoque]]</f>
        <v>29</v>
      </c>
      <c r="G20" s="29">
        <v>99.9</v>
      </c>
    </row>
    <row r="21" spans="1:7" x14ac:dyDescent="0.3">
      <c r="A21" s="27" t="s">
        <v>60</v>
      </c>
      <c r="B21" s="46" t="s">
        <v>100</v>
      </c>
      <c r="C21" s="27" t="s">
        <v>3</v>
      </c>
      <c r="D21" s="49" t="s">
        <v>101</v>
      </c>
      <c r="E21" s="27">
        <v>30</v>
      </c>
      <c r="F21" s="48">
        <f>TB_Produtos[[#This Row],[Estoque]]</f>
        <v>30</v>
      </c>
      <c r="G21" s="29">
        <v>99.9</v>
      </c>
    </row>
    <row r="22" spans="1:7" x14ac:dyDescent="0.3">
      <c r="A22" s="27" t="s">
        <v>61</v>
      </c>
      <c r="B22" s="46" t="s">
        <v>102</v>
      </c>
      <c r="C22" s="27" t="s">
        <v>2</v>
      </c>
      <c r="D22" s="49" t="s">
        <v>101</v>
      </c>
      <c r="E22" s="27">
        <v>31</v>
      </c>
      <c r="F22" s="48">
        <f>TB_Produtos[[#This Row],[Estoque]]</f>
        <v>31</v>
      </c>
      <c r="G22" s="29">
        <v>85</v>
      </c>
    </row>
    <row r="23" spans="1:7" x14ac:dyDescent="0.3">
      <c r="A23" s="27" t="s">
        <v>62</v>
      </c>
      <c r="B23" s="46" t="s">
        <v>103</v>
      </c>
      <c r="C23" s="27" t="s">
        <v>2</v>
      </c>
      <c r="D23" s="49" t="s">
        <v>101</v>
      </c>
      <c r="E23" s="27">
        <v>32</v>
      </c>
      <c r="F23" s="48">
        <f>TB_Produtos[[#This Row],[Estoque]]</f>
        <v>32</v>
      </c>
      <c r="G23" s="29">
        <v>95</v>
      </c>
    </row>
    <row r="24" spans="1:7" x14ac:dyDescent="0.3">
      <c r="A24" s="27" t="s">
        <v>63</v>
      </c>
      <c r="B24" s="46" t="s">
        <v>104</v>
      </c>
      <c r="C24" s="27" t="s">
        <v>2</v>
      </c>
      <c r="D24" s="49" t="s">
        <v>101</v>
      </c>
      <c r="E24" s="27">
        <v>33</v>
      </c>
      <c r="F24" s="48">
        <f>TB_Produtos[[#This Row],[Estoque]]</f>
        <v>33</v>
      </c>
      <c r="G24" s="29">
        <v>69.900000000000006</v>
      </c>
    </row>
    <row r="25" spans="1:7" x14ac:dyDescent="0.3">
      <c r="A25" s="27" t="s">
        <v>64</v>
      </c>
      <c r="B25" s="46" t="s">
        <v>104</v>
      </c>
      <c r="C25" s="27" t="s">
        <v>3</v>
      </c>
      <c r="D25" s="49" t="s">
        <v>101</v>
      </c>
      <c r="E25" s="27">
        <v>34</v>
      </c>
      <c r="F25" s="48">
        <f>TB_Produtos[[#This Row],[Estoque]]</f>
        <v>34</v>
      </c>
      <c r="G25" s="29">
        <v>69.900000000000006</v>
      </c>
    </row>
    <row r="26" spans="1:7" x14ac:dyDescent="0.3">
      <c r="A26" s="27" t="s">
        <v>65</v>
      </c>
      <c r="B26" s="46" t="s">
        <v>105</v>
      </c>
      <c r="C26" s="27" t="s">
        <v>2</v>
      </c>
      <c r="D26" s="49" t="s">
        <v>101</v>
      </c>
      <c r="E26" s="27">
        <v>35</v>
      </c>
      <c r="F26" s="48">
        <f>TB_Produtos[[#This Row],[Estoque]]</f>
        <v>35</v>
      </c>
      <c r="G26" s="29">
        <v>129.9</v>
      </c>
    </row>
    <row r="27" spans="1:7" x14ac:dyDescent="0.3">
      <c r="A27" s="27" t="s">
        <v>66</v>
      </c>
      <c r="B27" s="46" t="s">
        <v>105</v>
      </c>
      <c r="C27" s="27" t="s">
        <v>3</v>
      </c>
      <c r="D27" s="49" t="s">
        <v>101</v>
      </c>
      <c r="E27" s="27">
        <v>36</v>
      </c>
      <c r="F27" s="48">
        <f>TB_Produtos[[#This Row],[Estoque]]</f>
        <v>36</v>
      </c>
      <c r="G27" s="29">
        <v>129.9</v>
      </c>
    </row>
    <row r="28" spans="1:7" x14ac:dyDescent="0.3">
      <c r="A28" s="27" t="s">
        <v>67</v>
      </c>
      <c r="B28" s="46" t="s">
        <v>106</v>
      </c>
      <c r="C28" s="27" t="s">
        <v>2</v>
      </c>
      <c r="D28" s="49" t="s">
        <v>101</v>
      </c>
      <c r="E28" s="27">
        <v>37</v>
      </c>
      <c r="F28" s="48">
        <f>TB_Produtos[[#This Row],[Estoque]]</f>
        <v>37</v>
      </c>
      <c r="G28" s="29">
        <v>149.9</v>
      </c>
    </row>
    <row r="29" spans="1:7" x14ac:dyDescent="0.3">
      <c r="A29" s="27" t="s">
        <v>68</v>
      </c>
      <c r="B29" s="46" t="s">
        <v>106</v>
      </c>
      <c r="C29" s="27" t="s">
        <v>3</v>
      </c>
      <c r="D29" s="49" t="s">
        <v>101</v>
      </c>
      <c r="E29" s="27">
        <v>38</v>
      </c>
      <c r="F29" s="48">
        <f>TB_Produtos[[#This Row],[Estoque]]</f>
        <v>38</v>
      </c>
      <c r="G29" s="29">
        <v>149.9</v>
      </c>
    </row>
    <row r="30" spans="1:7" x14ac:dyDescent="0.3">
      <c r="A30" s="27" t="s">
        <v>69</v>
      </c>
      <c r="B30" s="46" t="s">
        <v>106</v>
      </c>
      <c r="C30" s="27" t="s">
        <v>4</v>
      </c>
      <c r="D30" s="49" t="s">
        <v>101</v>
      </c>
      <c r="E30" s="27">
        <v>39</v>
      </c>
      <c r="F30" s="48">
        <f>TB_Produtos[[#This Row],[Estoque]]</f>
        <v>39</v>
      </c>
      <c r="G30" s="29">
        <v>149.9</v>
      </c>
    </row>
    <row r="31" spans="1:7" x14ac:dyDescent="0.3">
      <c r="A31" s="27" t="s">
        <v>70</v>
      </c>
      <c r="B31" s="46" t="s">
        <v>107</v>
      </c>
      <c r="C31" s="27" t="s">
        <v>3</v>
      </c>
      <c r="D31" s="49" t="s">
        <v>101</v>
      </c>
      <c r="E31" s="27">
        <v>40</v>
      </c>
      <c r="F31" s="48">
        <f>TB_Produtos[[#This Row],[Estoque]]</f>
        <v>40</v>
      </c>
      <c r="G31" s="29">
        <v>79.900000000000006</v>
      </c>
    </row>
    <row r="32" spans="1:7" x14ac:dyDescent="0.3">
      <c r="A32" s="27" t="s">
        <v>71</v>
      </c>
      <c r="B32" s="46" t="s">
        <v>108</v>
      </c>
      <c r="C32" s="27" t="s">
        <v>3</v>
      </c>
      <c r="D32" s="49" t="s">
        <v>101</v>
      </c>
      <c r="E32" s="27">
        <v>41</v>
      </c>
      <c r="F32" s="48">
        <f>TB_Produtos[[#This Row],[Estoque]]</f>
        <v>41</v>
      </c>
      <c r="G32" s="29">
        <v>89.9</v>
      </c>
    </row>
    <row r="33" spans="1:7" x14ac:dyDescent="0.3">
      <c r="A33" s="27" t="s">
        <v>72</v>
      </c>
      <c r="B33" s="46" t="s">
        <v>108</v>
      </c>
      <c r="C33" s="27" t="s">
        <v>4</v>
      </c>
      <c r="D33" s="49" t="s">
        <v>101</v>
      </c>
      <c r="E33" s="27">
        <v>42</v>
      </c>
      <c r="F33" s="48">
        <f>TB_Produtos[[#This Row],[Estoque]]</f>
        <v>42</v>
      </c>
      <c r="G33" s="29">
        <v>89.9</v>
      </c>
    </row>
    <row r="34" spans="1:7" x14ac:dyDescent="0.3">
      <c r="A34" s="27" t="s">
        <v>73</v>
      </c>
      <c r="B34" s="46" t="s">
        <v>109</v>
      </c>
      <c r="C34" s="27" t="s">
        <v>3</v>
      </c>
      <c r="D34" s="49" t="s">
        <v>110</v>
      </c>
      <c r="E34" s="27">
        <v>43</v>
      </c>
      <c r="F34" s="48">
        <f>TB_Produtos[[#This Row],[Estoque]]</f>
        <v>43</v>
      </c>
      <c r="G34" s="29">
        <v>59.9</v>
      </c>
    </row>
    <row r="35" spans="1:7" x14ac:dyDescent="0.3">
      <c r="A35" s="27" t="s">
        <v>74</v>
      </c>
      <c r="B35" s="46" t="s">
        <v>111</v>
      </c>
      <c r="C35" s="27" t="s">
        <v>2</v>
      </c>
      <c r="D35" s="49" t="s">
        <v>110</v>
      </c>
      <c r="E35" s="27">
        <v>44</v>
      </c>
      <c r="F35" s="48">
        <f>TB_Produtos[[#This Row],[Estoque]]</f>
        <v>44</v>
      </c>
      <c r="G35" s="29">
        <v>69.900000000000006</v>
      </c>
    </row>
    <row r="36" spans="1:7" x14ac:dyDescent="0.3">
      <c r="A36" s="27" t="s">
        <v>75</v>
      </c>
      <c r="B36" s="46" t="s">
        <v>112</v>
      </c>
      <c r="C36" s="27" t="s">
        <v>3</v>
      </c>
      <c r="D36" s="49" t="s">
        <v>110</v>
      </c>
      <c r="E36" s="27">
        <v>45</v>
      </c>
      <c r="F36" s="48">
        <f>TB_Produtos[[#This Row],[Estoque]]</f>
        <v>45</v>
      </c>
      <c r="G36" s="29">
        <v>69.900000000000006</v>
      </c>
    </row>
    <row r="37" spans="1:7" x14ac:dyDescent="0.3">
      <c r="A37" s="27" t="s">
        <v>76</v>
      </c>
      <c r="B37" s="46" t="s">
        <v>113</v>
      </c>
      <c r="C37" s="27" t="s">
        <v>3</v>
      </c>
      <c r="D37" s="49" t="s">
        <v>101</v>
      </c>
      <c r="E37" s="27">
        <v>46</v>
      </c>
      <c r="F37" s="48">
        <f>TB_Produtos[[#This Row],[Estoque]]</f>
        <v>46</v>
      </c>
      <c r="G37" s="29">
        <v>79.900000000000006</v>
      </c>
    </row>
    <row r="38" spans="1:7" x14ac:dyDescent="0.3">
      <c r="A38" s="27" t="s">
        <v>77</v>
      </c>
      <c r="B38" s="46" t="s">
        <v>114</v>
      </c>
      <c r="C38" s="27" t="s">
        <v>8</v>
      </c>
      <c r="D38" s="49" t="s">
        <v>13</v>
      </c>
      <c r="E38" s="27">
        <v>47</v>
      </c>
      <c r="F38" s="48">
        <f>TB_Produtos[[#This Row],[Estoque]]</f>
        <v>47</v>
      </c>
      <c r="G38" s="29">
        <v>149.9</v>
      </c>
    </row>
    <row r="39" spans="1:7" x14ac:dyDescent="0.3">
      <c r="A39" s="27" t="s">
        <v>78</v>
      </c>
      <c r="B39" s="46" t="s">
        <v>34</v>
      </c>
      <c r="C39" s="27" t="s">
        <v>8</v>
      </c>
      <c r="D39" s="49" t="s">
        <v>13</v>
      </c>
      <c r="E39" s="27">
        <v>2</v>
      </c>
      <c r="F39" s="27">
        <f>TB_Produtos[[#This Row],[Estoque]]</f>
        <v>2</v>
      </c>
      <c r="G39" s="47">
        <v>145</v>
      </c>
    </row>
    <row r="40" spans="1:7" x14ac:dyDescent="0.3">
      <c r="A40" s="27" t="s">
        <v>79</v>
      </c>
      <c r="B40" s="46" t="s">
        <v>34</v>
      </c>
      <c r="C40" s="27" t="s">
        <v>8</v>
      </c>
      <c r="D40" s="49" t="s">
        <v>13</v>
      </c>
      <c r="E40" s="27">
        <v>48</v>
      </c>
      <c r="F40" s="48">
        <f>TB_Produtos[[#This Row],[Estoque]]</f>
        <v>48</v>
      </c>
      <c r="G40" s="28">
        <v>145</v>
      </c>
    </row>
    <row r="41" spans="1:7" x14ac:dyDescent="0.3">
      <c r="A41" s="27" t="s">
        <v>80</v>
      </c>
      <c r="B41" s="46" t="s">
        <v>33</v>
      </c>
      <c r="C41" s="27" t="s">
        <v>8</v>
      </c>
      <c r="D41" s="49" t="s">
        <v>13</v>
      </c>
      <c r="E41" s="27">
        <v>1</v>
      </c>
      <c r="F41" s="27">
        <f>TB_Produtos[[#This Row],[Estoque]]</f>
        <v>1</v>
      </c>
      <c r="G41" s="47">
        <v>259.89999999999998</v>
      </c>
    </row>
    <row r="42" spans="1:7" x14ac:dyDescent="0.3">
      <c r="A42" s="27" t="s">
        <v>81</v>
      </c>
      <c r="B42" s="46" t="s">
        <v>33</v>
      </c>
      <c r="C42" s="27" t="s">
        <v>8</v>
      </c>
      <c r="D42" s="49" t="s">
        <v>13</v>
      </c>
      <c r="E42" s="27">
        <v>49</v>
      </c>
      <c r="F42" s="48">
        <f>TB_Produtos[[#This Row],[Estoque]]</f>
        <v>49</v>
      </c>
      <c r="G42" s="28">
        <v>259.89999999999998</v>
      </c>
    </row>
    <row r="43" spans="1:7" x14ac:dyDescent="0.3">
      <c r="A43" s="27" t="s">
        <v>280</v>
      </c>
      <c r="B43" s="46" t="s">
        <v>115</v>
      </c>
      <c r="C43" s="27" t="s">
        <v>8</v>
      </c>
      <c r="D43" s="49" t="s">
        <v>13</v>
      </c>
      <c r="E43" s="27">
        <v>50</v>
      </c>
      <c r="F43" s="48">
        <f>TB_Produtos[[#This Row],[Estoque]]</f>
        <v>50</v>
      </c>
      <c r="G43" s="29">
        <v>99.9</v>
      </c>
    </row>
    <row r="44" spans="1:7" x14ac:dyDescent="0.3">
      <c r="A44" s="27" t="s">
        <v>281</v>
      </c>
      <c r="B44" s="46" t="s">
        <v>6</v>
      </c>
      <c r="C44" s="27" t="s">
        <v>8</v>
      </c>
      <c r="D44" s="49" t="s">
        <v>13</v>
      </c>
      <c r="E44" s="27">
        <v>11</v>
      </c>
      <c r="F44" s="27">
        <f>TB_Produtos[[#This Row],[Estoque]]</f>
        <v>11</v>
      </c>
      <c r="G44" s="47">
        <v>39.9</v>
      </c>
    </row>
    <row r="45" spans="1:7" x14ac:dyDescent="0.3">
      <c r="A45" s="27" t="s">
        <v>282</v>
      </c>
      <c r="B45" s="46" t="s">
        <v>6</v>
      </c>
      <c r="C45" s="27" t="s">
        <v>8</v>
      </c>
      <c r="D45" s="49" t="s">
        <v>13</v>
      </c>
      <c r="E45" s="27">
        <v>51</v>
      </c>
      <c r="F45" s="48">
        <f>TB_Produtos[[#This Row],[Estoque]]</f>
        <v>51</v>
      </c>
      <c r="G45" s="28">
        <v>39.9</v>
      </c>
    </row>
    <row r="46" spans="1:7" x14ac:dyDescent="0.3">
      <c r="A46" s="27" t="s">
        <v>283</v>
      </c>
      <c r="B46" s="46" t="s">
        <v>116</v>
      </c>
      <c r="C46" s="27" t="s">
        <v>8</v>
      </c>
      <c r="D46" s="49" t="s">
        <v>13</v>
      </c>
      <c r="E46" s="27">
        <v>52</v>
      </c>
      <c r="F46" s="48">
        <f>TB_Produtos[[#This Row],[Estoque]]</f>
        <v>52</v>
      </c>
      <c r="G46" s="29">
        <v>49.9</v>
      </c>
    </row>
    <row r="47" spans="1:7" x14ac:dyDescent="0.3">
      <c r="A47" s="27" t="s">
        <v>284</v>
      </c>
      <c r="B47" s="46" t="s">
        <v>117</v>
      </c>
      <c r="C47" s="27">
        <v>37</v>
      </c>
      <c r="D47" s="49" t="s">
        <v>82</v>
      </c>
      <c r="E47" s="27">
        <v>53</v>
      </c>
      <c r="F47" s="48">
        <f>TB_Produtos[[#This Row],[Estoque]]</f>
        <v>53</v>
      </c>
      <c r="G47" s="29">
        <v>199.9</v>
      </c>
    </row>
    <row r="48" spans="1:7" x14ac:dyDescent="0.3">
      <c r="A48" s="27" t="s">
        <v>285</v>
      </c>
      <c r="B48" s="46" t="s">
        <v>118</v>
      </c>
      <c r="C48" s="27">
        <v>42</v>
      </c>
      <c r="D48" s="49" t="s">
        <v>82</v>
      </c>
      <c r="E48" s="27">
        <v>54</v>
      </c>
      <c r="F48" s="48">
        <f>TB_Produtos[[#This Row],[Estoque]]</f>
        <v>54</v>
      </c>
      <c r="G48" s="29">
        <v>270</v>
      </c>
    </row>
    <row r="49" spans="1:7" x14ac:dyDescent="0.3">
      <c r="A49" s="27" t="s">
        <v>286</v>
      </c>
      <c r="B49" s="46" t="s">
        <v>119</v>
      </c>
      <c r="C49" s="27">
        <v>39</v>
      </c>
      <c r="D49" s="49" t="s">
        <v>82</v>
      </c>
      <c r="E49" s="27">
        <v>55</v>
      </c>
      <c r="F49" s="48">
        <f>TB_Produtos[[#This Row],[Estoque]]</f>
        <v>55</v>
      </c>
      <c r="G49" s="29">
        <v>280</v>
      </c>
    </row>
    <row r="50" spans="1:7" x14ac:dyDescent="0.3">
      <c r="A50" s="27" t="s">
        <v>287</v>
      </c>
      <c r="B50" s="46" t="s">
        <v>120</v>
      </c>
      <c r="C50" s="27">
        <v>36</v>
      </c>
      <c r="D50" s="49" t="s">
        <v>82</v>
      </c>
      <c r="E50" s="27">
        <v>56</v>
      </c>
      <c r="F50" s="48">
        <f>TB_Produtos[[#This Row],[Estoque]]</f>
        <v>56</v>
      </c>
      <c r="G50" s="29">
        <v>299.89999999999998</v>
      </c>
    </row>
    <row r="51" spans="1:7" x14ac:dyDescent="0.3">
      <c r="A51" s="27" t="s">
        <v>288</v>
      </c>
      <c r="B51" s="46" t="s">
        <v>121</v>
      </c>
      <c r="C51" s="27" t="s">
        <v>8</v>
      </c>
      <c r="D51" s="49" t="s">
        <v>13</v>
      </c>
      <c r="E51" s="27">
        <v>57</v>
      </c>
      <c r="F51" s="48">
        <f>TB_Produtos[[#This Row],[Estoque]]</f>
        <v>57</v>
      </c>
      <c r="G51" s="29">
        <v>35</v>
      </c>
    </row>
    <row r="52" spans="1:7" x14ac:dyDescent="0.3">
      <c r="A52" s="27" t="s">
        <v>289</v>
      </c>
      <c r="B52" s="46" t="s">
        <v>122</v>
      </c>
      <c r="C52" s="27" t="s">
        <v>8</v>
      </c>
      <c r="D52" s="49" t="s">
        <v>13</v>
      </c>
      <c r="E52" s="27">
        <v>58</v>
      </c>
      <c r="F52" s="48">
        <f>TB_Produtos[[#This Row],[Estoque]]</f>
        <v>58</v>
      </c>
      <c r="G52" s="29">
        <v>79.900000000000006</v>
      </c>
    </row>
    <row r="53" spans="1:7" x14ac:dyDescent="0.3">
      <c r="A53" s="27" t="s">
        <v>290</v>
      </c>
      <c r="B53" s="46" t="s">
        <v>123</v>
      </c>
      <c r="C53" s="27" t="s">
        <v>3</v>
      </c>
      <c r="D53" s="49" t="s">
        <v>124</v>
      </c>
      <c r="E53" s="27">
        <v>59</v>
      </c>
      <c r="F53" s="48">
        <f>TB_Produtos[[#This Row],[Estoque]]</f>
        <v>59</v>
      </c>
      <c r="G53" s="29">
        <v>169.9</v>
      </c>
    </row>
    <row r="54" spans="1:7" x14ac:dyDescent="0.3">
      <c r="A54" s="27" t="s">
        <v>291</v>
      </c>
      <c r="B54" s="46" t="s">
        <v>125</v>
      </c>
      <c r="C54" s="27">
        <v>38</v>
      </c>
      <c r="D54" s="49" t="s">
        <v>124</v>
      </c>
      <c r="E54" s="27">
        <v>60</v>
      </c>
      <c r="F54" s="48">
        <f>TB_Produtos[[#This Row],[Estoque]]</f>
        <v>60</v>
      </c>
      <c r="G54" s="29">
        <v>155</v>
      </c>
    </row>
    <row r="55" spans="1:7" x14ac:dyDescent="0.3">
      <c r="A55" s="27" t="s">
        <v>292</v>
      </c>
      <c r="B55" s="46" t="s">
        <v>126</v>
      </c>
      <c r="C55" s="27" t="s">
        <v>3</v>
      </c>
      <c r="D55" s="49" t="s">
        <v>124</v>
      </c>
      <c r="E55" s="27">
        <v>61</v>
      </c>
      <c r="F55" s="48">
        <f>TB_Produtos[[#This Row],[Estoque]]</f>
        <v>61</v>
      </c>
      <c r="G55" s="29">
        <v>135</v>
      </c>
    </row>
    <row r="56" spans="1:7" x14ac:dyDescent="0.3">
      <c r="A56" s="27" t="s">
        <v>293</v>
      </c>
      <c r="B56" s="46" t="s">
        <v>127</v>
      </c>
      <c r="C56" s="27" t="s">
        <v>3</v>
      </c>
      <c r="D56" s="49" t="s">
        <v>124</v>
      </c>
      <c r="E56" s="27">
        <v>62</v>
      </c>
      <c r="F56" s="48">
        <f>TB_Produtos[[#This Row],[Estoque]]</f>
        <v>62</v>
      </c>
      <c r="G56" s="29">
        <v>149.9</v>
      </c>
    </row>
    <row r="57" spans="1:7" x14ac:dyDescent="0.3">
      <c r="A57" s="27" t="s">
        <v>294</v>
      </c>
      <c r="B57" s="46" t="s">
        <v>128</v>
      </c>
      <c r="C57" s="27">
        <v>36</v>
      </c>
      <c r="D57" s="49" t="s">
        <v>124</v>
      </c>
      <c r="E57" s="27">
        <v>63</v>
      </c>
      <c r="F57" s="48">
        <f>TB_Produtos[[#This Row],[Estoque]]</f>
        <v>63</v>
      </c>
      <c r="G57" s="29">
        <v>139.9</v>
      </c>
    </row>
    <row r="58" spans="1:7" x14ac:dyDescent="0.3">
      <c r="A58" s="27" t="s">
        <v>295</v>
      </c>
      <c r="B58" s="46" t="s">
        <v>27</v>
      </c>
      <c r="C58" s="27" t="s">
        <v>2</v>
      </c>
      <c r="D58" s="49" t="s">
        <v>12</v>
      </c>
      <c r="E58" s="27">
        <v>6</v>
      </c>
      <c r="F58" s="27">
        <f>TB_Produtos[[#This Row],[Estoque]]</f>
        <v>6</v>
      </c>
      <c r="G58" s="47">
        <v>85.9</v>
      </c>
    </row>
    <row r="59" spans="1:7" x14ac:dyDescent="0.3">
      <c r="A59" s="27" t="s">
        <v>296</v>
      </c>
      <c r="B59" s="46" t="s">
        <v>27</v>
      </c>
      <c r="C59" s="27" t="s">
        <v>3</v>
      </c>
      <c r="D59" s="49" t="s">
        <v>12</v>
      </c>
      <c r="E59" s="27">
        <v>5</v>
      </c>
      <c r="F59" s="27">
        <f>TB_Produtos[[#This Row],[Estoque]]</f>
        <v>5</v>
      </c>
      <c r="G59" s="47">
        <v>89.9</v>
      </c>
    </row>
    <row r="60" spans="1:7" x14ac:dyDescent="0.3">
      <c r="A60" s="27" t="s">
        <v>297</v>
      </c>
      <c r="B60" s="46" t="s">
        <v>27</v>
      </c>
      <c r="C60" s="27" t="s">
        <v>4</v>
      </c>
      <c r="D60" s="49" t="s">
        <v>12</v>
      </c>
      <c r="E60" s="27">
        <v>8</v>
      </c>
      <c r="F60" s="27">
        <f>TB_Produtos[[#This Row],[Estoque]]</f>
        <v>8</v>
      </c>
      <c r="G60" s="47">
        <v>92.9</v>
      </c>
    </row>
    <row r="61" spans="1:7" x14ac:dyDescent="0.3">
      <c r="A61" s="27" t="s">
        <v>298</v>
      </c>
      <c r="B61" s="46" t="s">
        <v>27</v>
      </c>
      <c r="C61" s="27" t="s">
        <v>2</v>
      </c>
      <c r="D61" s="49" t="s">
        <v>12</v>
      </c>
      <c r="E61" s="27">
        <v>64</v>
      </c>
      <c r="F61" s="48">
        <f>TB_Produtos[[#This Row],[Estoque]]</f>
        <v>64</v>
      </c>
      <c r="G61" s="28">
        <v>85.9</v>
      </c>
    </row>
    <row r="62" spans="1:7" x14ac:dyDescent="0.3">
      <c r="A62" s="27" t="s">
        <v>299</v>
      </c>
      <c r="B62" s="46" t="s">
        <v>27</v>
      </c>
      <c r="C62" s="27" t="s">
        <v>3</v>
      </c>
      <c r="D62" s="49" t="s">
        <v>12</v>
      </c>
      <c r="E62" s="27">
        <v>65</v>
      </c>
      <c r="F62" s="48">
        <f>TB_Produtos[[#This Row],[Estoque]]</f>
        <v>65</v>
      </c>
      <c r="G62" s="28">
        <v>89.9</v>
      </c>
    </row>
    <row r="63" spans="1:7" x14ac:dyDescent="0.3">
      <c r="A63" s="27" t="s">
        <v>300</v>
      </c>
      <c r="B63" s="46" t="s">
        <v>27</v>
      </c>
      <c r="C63" s="27" t="s">
        <v>4</v>
      </c>
      <c r="D63" s="49" t="s">
        <v>12</v>
      </c>
      <c r="E63" s="27">
        <v>66</v>
      </c>
      <c r="F63" s="48">
        <f>TB_Produtos[[#This Row],[Estoque]]</f>
        <v>66</v>
      </c>
      <c r="G63" s="28">
        <v>92.9</v>
      </c>
    </row>
    <row r="64" spans="1:7" x14ac:dyDescent="0.3">
      <c r="A64" s="27" t="s">
        <v>301</v>
      </c>
      <c r="B64" s="46" t="s">
        <v>129</v>
      </c>
      <c r="C64" s="27">
        <v>44</v>
      </c>
      <c r="D64" s="49" t="s">
        <v>124</v>
      </c>
      <c r="E64" s="27">
        <v>67</v>
      </c>
      <c r="F64" s="48">
        <f>TB_Produtos[[#This Row],[Estoque]]</f>
        <v>67</v>
      </c>
      <c r="G64" s="29">
        <v>139.9</v>
      </c>
    </row>
    <row r="65" spans="1:7" x14ac:dyDescent="0.3">
      <c r="A65" s="27" t="s">
        <v>302</v>
      </c>
      <c r="B65" s="46" t="s">
        <v>130</v>
      </c>
      <c r="C65" s="27">
        <v>40</v>
      </c>
      <c r="D65" s="49" t="s">
        <v>124</v>
      </c>
      <c r="E65" s="27">
        <v>68</v>
      </c>
      <c r="F65" s="48">
        <f>TB_Produtos[[#This Row],[Estoque]]</f>
        <v>68</v>
      </c>
      <c r="G65" s="29">
        <v>129.9</v>
      </c>
    </row>
    <row r="66" spans="1:7" x14ac:dyDescent="0.3">
      <c r="A66" s="27" t="s">
        <v>303</v>
      </c>
      <c r="B66" s="46" t="s">
        <v>131</v>
      </c>
      <c r="C66" s="27">
        <v>36</v>
      </c>
      <c r="D66" s="49" t="s">
        <v>124</v>
      </c>
      <c r="E66" s="27">
        <v>69</v>
      </c>
      <c r="F66" s="48">
        <f>TB_Produtos[[#This Row],[Estoque]]</f>
        <v>69</v>
      </c>
      <c r="G66" s="29">
        <v>139.9</v>
      </c>
    </row>
    <row r="67" spans="1:7" x14ac:dyDescent="0.3">
      <c r="A67" s="27" t="s">
        <v>304</v>
      </c>
      <c r="B67" s="46" t="s">
        <v>131</v>
      </c>
      <c r="C67" s="27">
        <v>38</v>
      </c>
      <c r="D67" s="49" t="s">
        <v>124</v>
      </c>
      <c r="E67" s="27">
        <v>70</v>
      </c>
      <c r="F67" s="48">
        <f>TB_Produtos[[#This Row],[Estoque]]</f>
        <v>70</v>
      </c>
      <c r="G67" s="29">
        <v>139.9</v>
      </c>
    </row>
    <row r="68" spans="1:7" x14ac:dyDescent="0.3">
      <c r="A68" s="27" t="s">
        <v>305</v>
      </c>
      <c r="B68" s="46" t="s">
        <v>132</v>
      </c>
      <c r="C68" s="27">
        <v>38</v>
      </c>
      <c r="D68" s="49" t="s">
        <v>124</v>
      </c>
      <c r="E68" s="27">
        <v>71</v>
      </c>
      <c r="F68" s="48">
        <f>TB_Produtos[[#This Row],[Estoque]]</f>
        <v>71</v>
      </c>
      <c r="G68" s="29">
        <v>139.9</v>
      </c>
    </row>
    <row r="69" spans="1:7" x14ac:dyDescent="0.3">
      <c r="A69" s="27" t="s">
        <v>306</v>
      </c>
      <c r="B69" s="46" t="s">
        <v>132</v>
      </c>
      <c r="C69" s="27">
        <v>40</v>
      </c>
      <c r="D69" s="49" t="s">
        <v>124</v>
      </c>
      <c r="E69" s="27">
        <v>1</v>
      </c>
      <c r="F69" s="48">
        <f>TB_Produtos[[#This Row],[Estoque]]</f>
        <v>1</v>
      </c>
      <c r="G69" s="29">
        <v>139.9</v>
      </c>
    </row>
    <row r="70" spans="1:7" x14ac:dyDescent="0.3">
      <c r="A70" s="27" t="s">
        <v>307</v>
      </c>
      <c r="B70" s="46" t="s">
        <v>132</v>
      </c>
      <c r="C70" s="27">
        <v>42</v>
      </c>
      <c r="D70" s="49" t="s">
        <v>124</v>
      </c>
      <c r="E70" s="27">
        <v>2</v>
      </c>
      <c r="F70" s="48">
        <f>TB_Produtos[[#This Row],[Estoque]]</f>
        <v>2</v>
      </c>
      <c r="G70" s="29">
        <v>139.9</v>
      </c>
    </row>
    <row r="71" spans="1:7" x14ac:dyDescent="0.3">
      <c r="A71" s="27" t="s">
        <v>308</v>
      </c>
      <c r="B71" s="46" t="s">
        <v>133</v>
      </c>
      <c r="C71" s="27">
        <v>36</v>
      </c>
      <c r="D71" s="49" t="s">
        <v>124</v>
      </c>
      <c r="E71" s="27">
        <v>3</v>
      </c>
      <c r="F71" s="48">
        <f>TB_Produtos[[#This Row],[Estoque]]</f>
        <v>3</v>
      </c>
      <c r="G71" s="29">
        <v>129.9</v>
      </c>
    </row>
    <row r="72" spans="1:7" x14ac:dyDescent="0.3">
      <c r="A72" s="27" t="s">
        <v>309</v>
      </c>
      <c r="B72" s="46" t="s">
        <v>133</v>
      </c>
      <c r="C72" s="27">
        <v>38</v>
      </c>
      <c r="D72" s="49" t="s">
        <v>124</v>
      </c>
      <c r="E72" s="27">
        <v>4</v>
      </c>
      <c r="F72" s="48">
        <f>TB_Produtos[[#This Row],[Estoque]]</f>
        <v>4</v>
      </c>
      <c r="G72" s="29">
        <v>129.9</v>
      </c>
    </row>
    <row r="73" spans="1:7" x14ac:dyDescent="0.3">
      <c r="A73" s="27" t="s">
        <v>310</v>
      </c>
      <c r="B73" s="46" t="s">
        <v>133</v>
      </c>
      <c r="C73" s="27">
        <v>40</v>
      </c>
      <c r="D73" s="49" t="s">
        <v>124</v>
      </c>
      <c r="E73" s="27">
        <v>5</v>
      </c>
      <c r="F73" s="48">
        <f>TB_Produtos[[#This Row],[Estoque]]</f>
        <v>5</v>
      </c>
      <c r="G73" s="29">
        <v>129.9</v>
      </c>
    </row>
    <row r="74" spans="1:7" x14ac:dyDescent="0.3">
      <c r="A74" s="27" t="s">
        <v>311</v>
      </c>
      <c r="B74" s="46" t="s">
        <v>133</v>
      </c>
      <c r="C74" s="27">
        <v>42</v>
      </c>
      <c r="D74" s="49" t="s">
        <v>124</v>
      </c>
      <c r="E74" s="27">
        <v>6</v>
      </c>
      <c r="F74" s="48">
        <f>TB_Produtos[[#This Row],[Estoque]]</f>
        <v>6</v>
      </c>
      <c r="G74" s="29">
        <v>129.9</v>
      </c>
    </row>
    <row r="75" spans="1:7" x14ac:dyDescent="0.3">
      <c r="A75" s="27" t="s">
        <v>312</v>
      </c>
      <c r="B75" s="46" t="s">
        <v>133</v>
      </c>
      <c r="C75" s="27">
        <v>44</v>
      </c>
      <c r="D75" s="49" t="s">
        <v>124</v>
      </c>
      <c r="E75" s="27">
        <v>7</v>
      </c>
      <c r="F75" s="48">
        <f>TB_Produtos[[#This Row],[Estoque]]</f>
        <v>7</v>
      </c>
      <c r="G75" s="29">
        <v>129.9</v>
      </c>
    </row>
    <row r="76" spans="1:7" x14ac:dyDescent="0.3">
      <c r="A76" s="27" t="s">
        <v>313</v>
      </c>
      <c r="B76" s="46" t="s">
        <v>134</v>
      </c>
      <c r="C76" s="27">
        <v>40</v>
      </c>
      <c r="D76" s="49" t="s">
        <v>124</v>
      </c>
      <c r="E76" s="27">
        <v>8</v>
      </c>
      <c r="F76" s="48">
        <f>TB_Produtos[[#This Row],[Estoque]]</f>
        <v>8</v>
      </c>
      <c r="G76" s="29">
        <v>129.9</v>
      </c>
    </row>
    <row r="77" spans="1:7" x14ac:dyDescent="0.3">
      <c r="A77" s="27" t="s">
        <v>314</v>
      </c>
      <c r="B77" s="46" t="s">
        <v>134</v>
      </c>
      <c r="C77" s="27">
        <v>42</v>
      </c>
      <c r="D77" s="49" t="s">
        <v>124</v>
      </c>
      <c r="E77" s="27">
        <v>9</v>
      </c>
      <c r="F77" s="48">
        <f>TB_Produtos[[#This Row],[Estoque]]</f>
        <v>9</v>
      </c>
      <c r="G77" s="29">
        <v>129.9</v>
      </c>
    </row>
    <row r="78" spans="1:7" x14ac:dyDescent="0.3">
      <c r="A78" s="27" t="s">
        <v>315</v>
      </c>
      <c r="B78" s="46" t="s">
        <v>135</v>
      </c>
      <c r="C78" s="27">
        <v>38</v>
      </c>
      <c r="D78" s="49" t="s">
        <v>124</v>
      </c>
      <c r="E78" s="27">
        <v>10</v>
      </c>
      <c r="F78" s="48">
        <f>TB_Produtos[[#This Row],[Estoque]]</f>
        <v>10</v>
      </c>
      <c r="G78" s="29">
        <v>149.9</v>
      </c>
    </row>
    <row r="79" spans="1:7" x14ac:dyDescent="0.3">
      <c r="A79" s="27" t="s">
        <v>316</v>
      </c>
      <c r="B79" s="46" t="s">
        <v>135</v>
      </c>
      <c r="C79" s="27">
        <v>40</v>
      </c>
      <c r="D79" s="49" t="s">
        <v>124</v>
      </c>
      <c r="E79" s="27">
        <v>11</v>
      </c>
      <c r="F79" s="48">
        <f>TB_Produtos[[#This Row],[Estoque]]</f>
        <v>11</v>
      </c>
      <c r="G79" s="29">
        <v>149.9</v>
      </c>
    </row>
    <row r="80" spans="1:7" x14ac:dyDescent="0.3">
      <c r="A80" s="27" t="s">
        <v>317</v>
      </c>
      <c r="B80" s="46" t="s">
        <v>135</v>
      </c>
      <c r="C80" s="27">
        <v>42</v>
      </c>
      <c r="D80" s="49" t="s">
        <v>124</v>
      </c>
      <c r="E80" s="27">
        <v>12</v>
      </c>
      <c r="F80" s="48">
        <f>TB_Produtos[[#This Row],[Estoque]]</f>
        <v>12</v>
      </c>
      <c r="G80" s="29">
        <v>149.9</v>
      </c>
    </row>
    <row r="81" spans="1:7" x14ac:dyDescent="0.3">
      <c r="A81" s="27" t="s">
        <v>318</v>
      </c>
      <c r="B81" s="46" t="s">
        <v>136</v>
      </c>
      <c r="C81" s="27" t="s">
        <v>2</v>
      </c>
      <c r="D81" s="49" t="s">
        <v>124</v>
      </c>
      <c r="E81" s="27">
        <v>13</v>
      </c>
      <c r="F81" s="48">
        <f>TB_Produtos[[#This Row],[Estoque]]</f>
        <v>13</v>
      </c>
      <c r="G81" s="29">
        <v>99.9</v>
      </c>
    </row>
    <row r="82" spans="1:7" x14ac:dyDescent="0.3">
      <c r="A82" s="27" t="s">
        <v>319</v>
      </c>
      <c r="B82" s="46" t="s">
        <v>136</v>
      </c>
      <c r="C82" s="27" t="s">
        <v>3</v>
      </c>
      <c r="D82" s="49" t="s">
        <v>124</v>
      </c>
      <c r="E82" s="27">
        <v>14</v>
      </c>
      <c r="F82" s="48">
        <f>TB_Produtos[[#This Row],[Estoque]]</f>
        <v>14</v>
      </c>
      <c r="G82" s="29">
        <v>99.9</v>
      </c>
    </row>
    <row r="83" spans="1:7" x14ac:dyDescent="0.3">
      <c r="A83" s="27" t="s">
        <v>320</v>
      </c>
      <c r="B83" s="46" t="s">
        <v>136</v>
      </c>
      <c r="C83" s="27" t="s">
        <v>4</v>
      </c>
      <c r="D83" s="49" t="s">
        <v>124</v>
      </c>
      <c r="E83" s="27">
        <v>15</v>
      </c>
      <c r="F83" s="48">
        <f>TB_Produtos[[#This Row],[Estoque]]</f>
        <v>15</v>
      </c>
      <c r="G83" s="29">
        <v>99.9</v>
      </c>
    </row>
    <row r="84" spans="1:7" x14ac:dyDescent="0.3">
      <c r="A84" s="27" t="s">
        <v>321</v>
      </c>
      <c r="B84" s="46" t="s">
        <v>30</v>
      </c>
      <c r="C84" s="27" t="s">
        <v>2</v>
      </c>
      <c r="D84" s="49" t="s">
        <v>12</v>
      </c>
      <c r="E84" s="27">
        <v>2</v>
      </c>
      <c r="F84" s="27">
        <f>TB_Produtos[[#This Row],[Estoque]]</f>
        <v>2</v>
      </c>
      <c r="G84" s="47">
        <v>44.9</v>
      </c>
    </row>
    <row r="85" spans="1:7" x14ac:dyDescent="0.3">
      <c r="A85" s="27" t="s">
        <v>322</v>
      </c>
      <c r="B85" s="46" t="s">
        <v>30</v>
      </c>
      <c r="C85" s="27" t="s">
        <v>3</v>
      </c>
      <c r="D85" s="49" t="s">
        <v>12</v>
      </c>
      <c r="E85" s="27">
        <v>3</v>
      </c>
      <c r="F85" s="27">
        <f>TB_Produtos[[#This Row],[Estoque]]</f>
        <v>3</v>
      </c>
      <c r="G85" s="47">
        <v>46.9</v>
      </c>
    </row>
    <row r="86" spans="1:7" x14ac:dyDescent="0.3">
      <c r="A86" s="27" t="s">
        <v>323</v>
      </c>
      <c r="B86" s="46" t="s">
        <v>30</v>
      </c>
      <c r="C86" s="27" t="s">
        <v>4</v>
      </c>
      <c r="D86" s="49" t="s">
        <v>12</v>
      </c>
      <c r="E86" s="27">
        <v>5</v>
      </c>
      <c r="F86" s="27">
        <f>TB_Produtos[[#This Row],[Estoque]]</f>
        <v>5</v>
      </c>
      <c r="G86" s="47">
        <v>48.9</v>
      </c>
    </row>
    <row r="87" spans="1:7" x14ac:dyDescent="0.3">
      <c r="A87" s="27" t="s">
        <v>324</v>
      </c>
      <c r="B87" s="46" t="s">
        <v>30</v>
      </c>
      <c r="C87" s="27" t="s">
        <v>2</v>
      </c>
      <c r="D87" s="49" t="s">
        <v>12</v>
      </c>
      <c r="E87" s="27">
        <v>16</v>
      </c>
      <c r="F87" s="48">
        <f>TB_Produtos[[#This Row],[Estoque]]</f>
        <v>16</v>
      </c>
      <c r="G87" s="28">
        <v>44.9</v>
      </c>
    </row>
    <row r="88" spans="1:7" x14ac:dyDescent="0.3">
      <c r="A88" s="27" t="s">
        <v>325</v>
      </c>
      <c r="B88" s="46" t="s">
        <v>30</v>
      </c>
      <c r="C88" s="27" t="s">
        <v>3</v>
      </c>
      <c r="D88" s="49" t="s">
        <v>12</v>
      </c>
      <c r="E88" s="27">
        <v>17</v>
      </c>
      <c r="F88" s="48">
        <f>TB_Produtos[[#This Row],[Estoque]]</f>
        <v>17</v>
      </c>
      <c r="G88" s="28">
        <v>46.9</v>
      </c>
    </row>
    <row r="89" spans="1:7" x14ac:dyDescent="0.3">
      <c r="A89" s="27" t="s">
        <v>326</v>
      </c>
      <c r="B89" s="46" t="s">
        <v>30</v>
      </c>
      <c r="C89" s="27" t="s">
        <v>4</v>
      </c>
      <c r="D89" s="49" t="s">
        <v>12</v>
      </c>
      <c r="E89" s="27">
        <v>18</v>
      </c>
      <c r="F89" s="48">
        <f>TB_Produtos[[#This Row],[Estoque]]</f>
        <v>18</v>
      </c>
      <c r="G89" s="28">
        <v>48.9</v>
      </c>
    </row>
    <row r="90" spans="1:7" x14ac:dyDescent="0.3">
      <c r="A90" s="27" t="s">
        <v>327</v>
      </c>
      <c r="B90" s="46" t="s">
        <v>137</v>
      </c>
      <c r="C90" s="27" t="s">
        <v>3</v>
      </c>
      <c r="D90" s="49" t="s">
        <v>124</v>
      </c>
      <c r="E90" s="27">
        <v>19</v>
      </c>
      <c r="F90" s="48">
        <f>TB_Produtos[[#This Row],[Estoque]]</f>
        <v>19</v>
      </c>
      <c r="G90" s="29">
        <v>85</v>
      </c>
    </row>
    <row r="91" spans="1:7" x14ac:dyDescent="0.3">
      <c r="A91" s="27" t="s">
        <v>328</v>
      </c>
      <c r="B91" s="46" t="s">
        <v>138</v>
      </c>
      <c r="C91" s="27" t="s">
        <v>4</v>
      </c>
      <c r="D91" s="49" t="s">
        <v>124</v>
      </c>
      <c r="E91" s="27">
        <v>20</v>
      </c>
      <c r="F91" s="48">
        <f>TB_Produtos[[#This Row],[Estoque]]</f>
        <v>20</v>
      </c>
      <c r="G91" s="29">
        <v>119.9</v>
      </c>
    </row>
    <row r="92" spans="1:7" x14ac:dyDescent="0.3">
      <c r="A92" s="27" t="s">
        <v>329</v>
      </c>
      <c r="B92" s="46" t="s">
        <v>139</v>
      </c>
      <c r="C92" s="27" t="s">
        <v>3</v>
      </c>
      <c r="D92" s="49" t="s">
        <v>124</v>
      </c>
      <c r="E92" s="27">
        <v>21</v>
      </c>
      <c r="F92" s="48">
        <f>TB_Produtos[[#This Row],[Estoque]]</f>
        <v>21</v>
      </c>
      <c r="G92" s="29">
        <v>159.9</v>
      </c>
    </row>
    <row r="93" spans="1:7" x14ac:dyDescent="0.3">
      <c r="A93" s="27" t="s">
        <v>330</v>
      </c>
      <c r="B93" s="46" t="s">
        <v>140</v>
      </c>
      <c r="C93" s="27" t="s">
        <v>3</v>
      </c>
      <c r="D93" s="49" t="s">
        <v>124</v>
      </c>
      <c r="E93" s="27">
        <v>22</v>
      </c>
      <c r="F93" s="48">
        <f>TB_Produtos[[#This Row],[Estoque]]</f>
        <v>22</v>
      </c>
      <c r="G93" s="29">
        <v>169.9</v>
      </c>
    </row>
    <row r="94" spans="1:7" x14ac:dyDescent="0.3">
      <c r="A94" s="27" t="s">
        <v>331</v>
      </c>
      <c r="B94" s="46" t="s">
        <v>141</v>
      </c>
      <c r="C94" s="27">
        <v>42</v>
      </c>
      <c r="D94" s="49" t="s">
        <v>124</v>
      </c>
      <c r="E94" s="27">
        <v>23</v>
      </c>
      <c r="F94" s="48">
        <f>TB_Produtos[[#This Row],[Estoque]]</f>
        <v>23</v>
      </c>
      <c r="G94" s="29">
        <v>149.9</v>
      </c>
    </row>
    <row r="95" spans="1:7" x14ac:dyDescent="0.3">
      <c r="A95" s="27" t="s">
        <v>332</v>
      </c>
      <c r="B95" s="46" t="s">
        <v>141</v>
      </c>
      <c r="C95" s="27">
        <v>44</v>
      </c>
      <c r="D95" s="49" t="s">
        <v>124</v>
      </c>
      <c r="E95" s="27">
        <v>24</v>
      </c>
      <c r="F95" s="48">
        <f>TB_Produtos[[#This Row],[Estoque]]</f>
        <v>24</v>
      </c>
      <c r="G95" s="29">
        <v>149.9</v>
      </c>
    </row>
    <row r="96" spans="1:7" x14ac:dyDescent="0.3">
      <c r="A96" s="27" t="s">
        <v>333</v>
      </c>
      <c r="B96" s="46" t="s">
        <v>142</v>
      </c>
      <c r="C96" s="27">
        <v>44</v>
      </c>
      <c r="D96" s="49" t="s">
        <v>124</v>
      </c>
      <c r="E96" s="27">
        <v>25</v>
      </c>
      <c r="F96" s="48">
        <f>TB_Produtos[[#This Row],[Estoque]]</f>
        <v>25</v>
      </c>
      <c r="G96" s="29">
        <v>179.9</v>
      </c>
    </row>
    <row r="97" spans="1:7" x14ac:dyDescent="0.3">
      <c r="A97" s="27" t="s">
        <v>334</v>
      </c>
      <c r="B97" s="46" t="s">
        <v>143</v>
      </c>
      <c r="C97" s="27">
        <v>40</v>
      </c>
      <c r="D97" s="49" t="s">
        <v>124</v>
      </c>
      <c r="E97" s="27">
        <v>26</v>
      </c>
      <c r="F97" s="48">
        <f>TB_Produtos[[#This Row],[Estoque]]</f>
        <v>26</v>
      </c>
      <c r="G97" s="29">
        <v>159.9</v>
      </c>
    </row>
    <row r="98" spans="1:7" x14ac:dyDescent="0.3">
      <c r="A98" s="27" t="s">
        <v>335</v>
      </c>
      <c r="B98" s="46" t="s">
        <v>144</v>
      </c>
      <c r="C98" s="27" t="s">
        <v>2</v>
      </c>
      <c r="D98" s="49" t="s">
        <v>124</v>
      </c>
      <c r="E98" s="27">
        <v>27</v>
      </c>
      <c r="F98" s="48">
        <f>TB_Produtos[[#This Row],[Estoque]]</f>
        <v>27</v>
      </c>
      <c r="G98" s="29">
        <v>179.9</v>
      </c>
    </row>
    <row r="99" spans="1:7" x14ac:dyDescent="0.3">
      <c r="A99" s="27" t="s">
        <v>336</v>
      </c>
      <c r="B99" s="46" t="s">
        <v>145</v>
      </c>
      <c r="C99" s="27" t="s">
        <v>2</v>
      </c>
      <c r="D99" s="49" t="s">
        <v>146</v>
      </c>
      <c r="E99" s="27">
        <v>28</v>
      </c>
      <c r="F99" s="48">
        <f>TB_Produtos[[#This Row],[Estoque]]</f>
        <v>28</v>
      </c>
      <c r="G99" s="29">
        <v>39.9</v>
      </c>
    </row>
    <row r="100" spans="1:7" x14ac:dyDescent="0.3">
      <c r="A100" s="27" t="s">
        <v>337</v>
      </c>
      <c r="B100" s="46" t="s">
        <v>147</v>
      </c>
      <c r="C100" s="27" t="s">
        <v>3</v>
      </c>
      <c r="D100" s="49" t="s">
        <v>146</v>
      </c>
      <c r="E100" s="27">
        <v>29</v>
      </c>
      <c r="F100" s="48">
        <f>TB_Produtos[[#This Row],[Estoque]]</f>
        <v>29</v>
      </c>
      <c r="G100" s="29">
        <v>45</v>
      </c>
    </row>
    <row r="101" spans="1:7" x14ac:dyDescent="0.3">
      <c r="A101" s="27" t="s">
        <v>338</v>
      </c>
      <c r="B101" s="46" t="s">
        <v>148</v>
      </c>
      <c r="C101" s="27" t="s">
        <v>3</v>
      </c>
      <c r="D101" s="49" t="s">
        <v>146</v>
      </c>
      <c r="E101" s="27">
        <v>30</v>
      </c>
      <c r="F101" s="48">
        <f>TB_Produtos[[#This Row],[Estoque]]</f>
        <v>30</v>
      </c>
      <c r="G101" s="29">
        <v>59.9</v>
      </c>
    </row>
    <row r="102" spans="1:7" x14ac:dyDescent="0.3">
      <c r="A102" s="27" t="s">
        <v>339</v>
      </c>
      <c r="B102" s="46" t="s">
        <v>149</v>
      </c>
      <c r="C102" s="27" t="s">
        <v>3</v>
      </c>
      <c r="D102" s="49" t="s">
        <v>146</v>
      </c>
      <c r="E102" s="27">
        <v>31</v>
      </c>
      <c r="F102" s="48">
        <f>TB_Produtos[[#This Row],[Estoque]]</f>
        <v>31</v>
      </c>
      <c r="G102" s="29">
        <v>69.900000000000006</v>
      </c>
    </row>
    <row r="103" spans="1:7" x14ac:dyDescent="0.3">
      <c r="A103" s="27" t="s">
        <v>340</v>
      </c>
      <c r="B103" s="46" t="s">
        <v>150</v>
      </c>
      <c r="C103" s="27" t="s">
        <v>4</v>
      </c>
      <c r="D103" s="49" t="s">
        <v>151</v>
      </c>
      <c r="E103" s="27">
        <v>32</v>
      </c>
      <c r="F103" s="48">
        <f>TB_Produtos[[#This Row],[Estoque]]</f>
        <v>32</v>
      </c>
      <c r="G103" s="29">
        <v>129.9</v>
      </c>
    </row>
    <row r="104" spans="1:7" x14ac:dyDescent="0.3">
      <c r="A104" s="27" t="s">
        <v>341</v>
      </c>
      <c r="B104" s="46" t="s">
        <v>152</v>
      </c>
      <c r="C104" s="27" t="s">
        <v>3</v>
      </c>
      <c r="D104" s="49" t="s">
        <v>151</v>
      </c>
      <c r="E104" s="27">
        <v>33</v>
      </c>
      <c r="F104" s="48">
        <f>TB_Produtos[[#This Row],[Estoque]]</f>
        <v>33</v>
      </c>
      <c r="G104" s="29">
        <v>139.9</v>
      </c>
    </row>
    <row r="105" spans="1:7" x14ac:dyDescent="0.3">
      <c r="A105" s="27" t="s">
        <v>342</v>
      </c>
      <c r="B105" s="46" t="s">
        <v>152</v>
      </c>
      <c r="C105" s="27" t="s">
        <v>4</v>
      </c>
      <c r="D105" s="49" t="s">
        <v>151</v>
      </c>
      <c r="E105" s="27">
        <v>34</v>
      </c>
      <c r="F105" s="48">
        <f>TB_Produtos[[#This Row],[Estoque]]</f>
        <v>34</v>
      </c>
      <c r="G105" s="29">
        <v>139.9</v>
      </c>
    </row>
    <row r="106" spans="1:7" x14ac:dyDescent="0.3">
      <c r="A106" s="27" t="s">
        <v>343</v>
      </c>
      <c r="B106" s="46" t="s">
        <v>153</v>
      </c>
      <c r="C106" s="27" t="s">
        <v>3</v>
      </c>
      <c r="D106" s="49" t="s">
        <v>151</v>
      </c>
      <c r="E106" s="27">
        <v>35</v>
      </c>
      <c r="F106" s="48">
        <f>TB_Produtos[[#This Row],[Estoque]]</f>
        <v>35</v>
      </c>
      <c r="G106" s="29">
        <v>99.9</v>
      </c>
    </row>
    <row r="107" spans="1:7" x14ac:dyDescent="0.3">
      <c r="A107" s="27" t="s">
        <v>344</v>
      </c>
      <c r="B107" s="46" t="s">
        <v>154</v>
      </c>
      <c r="C107" s="27" t="s">
        <v>2</v>
      </c>
      <c r="D107" s="49" t="s">
        <v>151</v>
      </c>
      <c r="E107" s="27">
        <v>36</v>
      </c>
      <c r="F107" s="48">
        <f>TB_Produtos[[#This Row],[Estoque]]</f>
        <v>36</v>
      </c>
      <c r="G107" s="29">
        <v>95</v>
      </c>
    </row>
    <row r="108" spans="1:7" x14ac:dyDescent="0.3">
      <c r="A108" s="27" t="s">
        <v>345</v>
      </c>
      <c r="B108" s="46" t="s">
        <v>154</v>
      </c>
      <c r="C108" s="27" t="s">
        <v>3</v>
      </c>
      <c r="D108" s="49" t="s">
        <v>151</v>
      </c>
      <c r="E108" s="27">
        <v>37</v>
      </c>
      <c r="F108" s="48">
        <f>TB_Produtos[[#This Row],[Estoque]]</f>
        <v>37</v>
      </c>
      <c r="G108" s="29">
        <v>95</v>
      </c>
    </row>
    <row r="109" spans="1:7" x14ac:dyDescent="0.3">
      <c r="A109" s="27" t="s">
        <v>346</v>
      </c>
      <c r="B109" s="46" t="s">
        <v>154</v>
      </c>
      <c r="C109" s="27" t="s">
        <v>4</v>
      </c>
      <c r="D109" s="49" t="s">
        <v>151</v>
      </c>
      <c r="E109" s="27">
        <v>38</v>
      </c>
      <c r="F109" s="48">
        <f>TB_Produtos[[#This Row],[Estoque]]</f>
        <v>38</v>
      </c>
      <c r="G109" s="29">
        <v>95</v>
      </c>
    </row>
    <row r="110" spans="1:7" x14ac:dyDescent="0.3">
      <c r="A110" s="27" t="s">
        <v>347</v>
      </c>
      <c r="B110" s="46" t="s">
        <v>155</v>
      </c>
      <c r="C110" s="27" t="s">
        <v>2</v>
      </c>
      <c r="D110" s="49" t="s">
        <v>151</v>
      </c>
      <c r="E110" s="27">
        <v>39</v>
      </c>
      <c r="F110" s="48">
        <f>TB_Produtos[[#This Row],[Estoque]]</f>
        <v>39</v>
      </c>
      <c r="G110" s="29">
        <v>89.9</v>
      </c>
    </row>
    <row r="111" spans="1:7" x14ac:dyDescent="0.3">
      <c r="A111" s="27" t="s">
        <v>348</v>
      </c>
      <c r="B111" s="46" t="s">
        <v>155</v>
      </c>
      <c r="C111" s="27" t="s">
        <v>3</v>
      </c>
      <c r="D111" s="49" t="s">
        <v>151</v>
      </c>
      <c r="E111" s="27">
        <v>40</v>
      </c>
      <c r="F111" s="48">
        <f>TB_Produtos[[#This Row],[Estoque]]</f>
        <v>40</v>
      </c>
      <c r="G111" s="29">
        <v>89.9</v>
      </c>
    </row>
    <row r="112" spans="1:7" x14ac:dyDescent="0.3">
      <c r="A112" s="27" t="s">
        <v>349</v>
      </c>
      <c r="B112" s="46" t="s">
        <v>155</v>
      </c>
      <c r="C112" s="27" t="s">
        <v>4</v>
      </c>
      <c r="D112" s="49" t="s">
        <v>151</v>
      </c>
      <c r="E112" s="27">
        <v>41</v>
      </c>
      <c r="F112" s="48">
        <f>TB_Produtos[[#This Row],[Estoque]]</f>
        <v>41</v>
      </c>
      <c r="G112" s="29">
        <v>89.9</v>
      </c>
    </row>
    <row r="113" spans="1:7" x14ac:dyDescent="0.3">
      <c r="A113" s="27" t="s">
        <v>350</v>
      </c>
      <c r="B113" s="46" t="s">
        <v>156</v>
      </c>
      <c r="C113" s="27" t="s">
        <v>4</v>
      </c>
      <c r="D113" s="49" t="s">
        <v>151</v>
      </c>
      <c r="E113" s="27">
        <v>42</v>
      </c>
      <c r="F113" s="48">
        <f>TB_Produtos[[#This Row],[Estoque]]</f>
        <v>42</v>
      </c>
      <c r="G113" s="29">
        <v>119.9</v>
      </c>
    </row>
    <row r="114" spans="1:7" x14ac:dyDescent="0.3">
      <c r="A114" s="27" t="s">
        <v>351</v>
      </c>
      <c r="B114" s="46" t="s">
        <v>157</v>
      </c>
      <c r="C114" s="27" t="s">
        <v>2</v>
      </c>
      <c r="D114" s="49" t="s">
        <v>151</v>
      </c>
      <c r="E114" s="27">
        <v>43</v>
      </c>
      <c r="F114" s="48">
        <f>TB_Produtos[[#This Row],[Estoque]]</f>
        <v>43</v>
      </c>
      <c r="G114" s="29">
        <v>119.9</v>
      </c>
    </row>
    <row r="115" spans="1:7" x14ac:dyDescent="0.3">
      <c r="A115" s="27" t="s">
        <v>352</v>
      </c>
      <c r="B115" s="46" t="s">
        <v>158</v>
      </c>
      <c r="C115" s="27" t="s">
        <v>3</v>
      </c>
      <c r="D115" s="49" t="s">
        <v>151</v>
      </c>
      <c r="E115" s="27">
        <v>44</v>
      </c>
      <c r="F115" s="48">
        <f>TB_Produtos[[#This Row],[Estoque]]</f>
        <v>44</v>
      </c>
      <c r="G115" s="29">
        <v>119.9</v>
      </c>
    </row>
    <row r="116" spans="1:7" x14ac:dyDescent="0.3">
      <c r="A116" s="27" t="s">
        <v>353</v>
      </c>
      <c r="B116" s="46" t="s">
        <v>159</v>
      </c>
      <c r="C116" s="27" t="s">
        <v>4</v>
      </c>
      <c r="D116" s="49" t="s">
        <v>151</v>
      </c>
      <c r="E116" s="27">
        <v>45</v>
      </c>
      <c r="F116" s="48">
        <f>TB_Produtos[[#This Row],[Estoque]]</f>
        <v>45</v>
      </c>
      <c r="G116" s="29">
        <v>109.9</v>
      </c>
    </row>
    <row r="117" spans="1:7" x14ac:dyDescent="0.3">
      <c r="A117" s="27" t="s">
        <v>354</v>
      </c>
      <c r="B117" s="46" t="s">
        <v>160</v>
      </c>
      <c r="C117" s="27" t="s">
        <v>2</v>
      </c>
      <c r="D117" s="49" t="s">
        <v>110</v>
      </c>
      <c r="E117" s="27">
        <v>46</v>
      </c>
      <c r="F117" s="48">
        <f>TB_Produtos[[#This Row],[Estoque]]</f>
        <v>46</v>
      </c>
      <c r="G117" s="29">
        <v>49.9</v>
      </c>
    </row>
    <row r="118" spans="1:7" x14ac:dyDescent="0.3">
      <c r="A118" s="27" t="s">
        <v>355</v>
      </c>
      <c r="B118" s="46" t="s">
        <v>160</v>
      </c>
      <c r="C118" s="27" t="s">
        <v>3</v>
      </c>
      <c r="D118" s="49" t="s">
        <v>110</v>
      </c>
      <c r="E118" s="27">
        <v>47</v>
      </c>
      <c r="F118" s="48">
        <f>TB_Produtos[[#This Row],[Estoque]]</f>
        <v>47</v>
      </c>
      <c r="G118" s="29">
        <v>49.9</v>
      </c>
    </row>
    <row r="119" spans="1:7" x14ac:dyDescent="0.3">
      <c r="A119" s="27" t="s">
        <v>356</v>
      </c>
      <c r="B119" s="46" t="s">
        <v>161</v>
      </c>
      <c r="C119" s="27" t="s">
        <v>2</v>
      </c>
      <c r="D119" s="49" t="s">
        <v>110</v>
      </c>
      <c r="E119" s="27">
        <v>48</v>
      </c>
      <c r="F119" s="48">
        <f>TB_Produtos[[#This Row],[Estoque]]</f>
        <v>48</v>
      </c>
      <c r="G119" s="29">
        <v>49.9</v>
      </c>
    </row>
    <row r="120" spans="1:7" x14ac:dyDescent="0.3">
      <c r="A120" s="27" t="s">
        <v>357</v>
      </c>
      <c r="B120" s="46" t="s">
        <v>161</v>
      </c>
      <c r="C120" s="27" t="s">
        <v>3</v>
      </c>
      <c r="D120" s="49" t="s">
        <v>110</v>
      </c>
      <c r="E120" s="27">
        <v>49</v>
      </c>
      <c r="F120" s="48">
        <f>TB_Produtos[[#This Row],[Estoque]]</f>
        <v>49</v>
      </c>
      <c r="G120" s="29">
        <v>49.9</v>
      </c>
    </row>
    <row r="121" spans="1:7" x14ac:dyDescent="0.3">
      <c r="A121" s="27" t="s">
        <v>358</v>
      </c>
      <c r="B121" s="46" t="s">
        <v>161</v>
      </c>
      <c r="C121" s="27" t="s">
        <v>4</v>
      </c>
      <c r="D121" s="49" t="s">
        <v>110</v>
      </c>
      <c r="E121" s="27">
        <v>50</v>
      </c>
      <c r="F121" s="48">
        <f>TB_Produtos[[#This Row],[Estoque]]</f>
        <v>50</v>
      </c>
      <c r="G121" s="29">
        <v>49.9</v>
      </c>
    </row>
    <row r="122" spans="1:7" x14ac:dyDescent="0.3">
      <c r="A122" s="27" t="s">
        <v>359</v>
      </c>
      <c r="B122" s="46" t="s">
        <v>162</v>
      </c>
      <c r="C122" s="27" t="s">
        <v>2</v>
      </c>
      <c r="D122" s="49" t="s">
        <v>110</v>
      </c>
      <c r="E122" s="27">
        <v>51</v>
      </c>
      <c r="F122" s="48">
        <f>TB_Produtos[[#This Row],[Estoque]]</f>
        <v>51</v>
      </c>
      <c r="G122" s="29">
        <v>49.9</v>
      </c>
    </row>
    <row r="123" spans="1:7" x14ac:dyDescent="0.3">
      <c r="A123" s="27" t="s">
        <v>360</v>
      </c>
      <c r="B123" s="46" t="s">
        <v>162</v>
      </c>
      <c r="C123" s="27" t="s">
        <v>3</v>
      </c>
      <c r="D123" s="49" t="s">
        <v>110</v>
      </c>
      <c r="E123" s="27">
        <v>52</v>
      </c>
      <c r="F123" s="48">
        <f>TB_Produtos[[#This Row],[Estoque]]</f>
        <v>52</v>
      </c>
      <c r="G123" s="29">
        <v>49.9</v>
      </c>
    </row>
    <row r="124" spans="1:7" x14ac:dyDescent="0.3">
      <c r="A124" s="27" t="s">
        <v>361</v>
      </c>
      <c r="B124" s="46" t="s">
        <v>162</v>
      </c>
      <c r="C124" s="27" t="s">
        <v>4</v>
      </c>
      <c r="D124" s="49" t="s">
        <v>110</v>
      </c>
      <c r="E124" s="27">
        <v>53</v>
      </c>
      <c r="F124" s="48">
        <f>TB_Produtos[[#This Row],[Estoque]]</f>
        <v>53</v>
      </c>
      <c r="G124" s="29">
        <v>49.9</v>
      </c>
    </row>
    <row r="125" spans="1:7" x14ac:dyDescent="0.3">
      <c r="A125" s="27" t="s">
        <v>362</v>
      </c>
      <c r="B125" s="46" t="s">
        <v>163</v>
      </c>
      <c r="C125" s="27" t="s">
        <v>3</v>
      </c>
      <c r="D125" s="49" t="s">
        <v>110</v>
      </c>
      <c r="E125" s="27">
        <v>54</v>
      </c>
      <c r="F125" s="48">
        <f>TB_Produtos[[#This Row],[Estoque]]</f>
        <v>54</v>
      </c>
      <c r="G125" s="29">
        <v>49.9</v>
      </c>
    </row>
    <row r="126" spans="1:7" x14ac:dyDescent="0.3">
      <c r="A126" s="27" t="s">
        <v>363</v>
      </c>
      <c r="B126" s="46" t="s">
        <v>163</v>
      </c>
      <c r="C126" s="27" t="s">
        <v>4</v>
      </c>
      <c r="D126" s="49" t="s">
        <v>110</v>
      </c>
      <c r="E126" s="27">
        <v>55</v>
      </c>
      <c r="F126" s="48">
        <f>TB_Produtos[[#This Row],[Estoque]]</f>
        <v>55</v>
      </c>
      <c r="G126" s="29">
        <v>49.9</v>
      </c>
    </row>
    <row r="127" spans="1:7" x14ac:dyDescent="0.3">
      <c r="A127" s="27" t="s">
        <v>364</v>
      </c>
      <c r="B127" s="46" t="s">
        <v>164</v>
      </c>
      <c r="C127" s="27" t="s">
        <v>4</v>
      </c>
      <c r="D127" s="49" t="s">
        <v>110</v>
      </c>
      <c r="E127" s="27">
        <v>56</v>
      </c>
      <c r="F127" s="48">
        <f>TB_Produtos[[#This Row],[Estoque]]</f>
        <v>56</v>
      </c>
      <c r="G127" s="29">
        <v>65</v>
      </c>
    </row>
    <row r="128" spans="1:7" x14ac:dyDescent="0.3">
      <c r="A128" s="27" t="s">
        <v>365</v>
      </c>
      <c r="B128" s="46" t="s">
        <v>22</v>
      </c>
      <c r="C128" s="27" t="s">
        <v>2</v>
      </c>
      <c r="D128" s="49" t="s">
        <v>12</v>
      </c>
      <c r="E128" s="27">
        <v>6</v>
      </c>
      <c r="F128" s="27">
        <f>TB_Produtos[[#This Row],[Estoque]]</f>
        <v>6</v>
      </c>
      <c r="G128" s="47">
        <v>39.9</v>
      </c>
    </row>
    <row r="129" spans="1:7" x14ac:dyDescent="0.3">
      <c r="A129" s="27" t="s">
        <v>366</v>
      </c>
      <c r="B129" s="46" t="s">
        <v>22</v>
      </c>
      <c r="C129" s="27" t="s">
        <v>3</v>
      </c>
      <c r="D129" s="49" t="s">
        <v>12</v>
      </c>
      <c r="E129" s="27">
        <v>10</v>
      </c>
      <c r="F129" s="27">
        <f>TB_Produtos[[#This Row],[Estoque]]</f>
        <v>10</v>
      </c>
      <c r="G129" s="47">
        <v>39.9</v>
      </c>
    </row>
    <row r="130" spans="1:7" x14ac:dyDescent="0.3">
      <c r="A130" s="27" t="s">
        <v>367</v>
      </c>
      <c r="B130" s="46" t="s">
        <v>22</v>
      </c>
      <c r="C130" s="27" t="s">
        <v>4</v>
      </c>
      <c r="D130" s="49" t="s">
        <v>12</v>
      </c>
      <c r="E130" s="27">
        <v>12</v>
      </c>
      <c r="F130" s="27">
        <f>TB_Produtos[[#This Row],[Estoque]]</f>
        <v>12</v>
      </c>
      <c r="G130" s="47">
        <v>42.5</v>
      </c>
    </row>
    <row r="131" spans="1:7" x14ac:dyDescent="0.3">
      <c r="A131" s="27" t="s">
        <v>368</v>
      </c>
      <c r="B131" s="46" t="s">
        <v>22</v>
      </c>
      <c r="C131" s="27" t="s">
        <v>2</v>
      </c>
      <c r="D131" s="49" t="s">
        <v>12</v>
      </c>
      <c r="E131" s="27">
        <v>57</v>
      </c>
      <c r="F131" s="48">
        <f>TB_Produtos[[#This Row],[Estoque]]</f>
        <v>57</v>
      </c>
      <c r="G131" s="28">
        <v>39.9</v>
      </c>
    </row>
    <row r="132" spans="1:7" x14ac:dyDescent="0.3">
      <c r="A132" s="27" t="s">
        <v>369</v>
      </c>
      <c r="B132" s="46" t="s">
        <v>22</v>
      </c>
      <c r="C132" s="27" t="s">
        <v>3</v>
      </c>
      <c r="D132" s="49" t="s">
        <v>12</v>
      </c>
      <c r="E132" s="27">
        <v>58</v>
      </c>
      <c r="F132" s="48">
        <f>TB_Produtos[[#This Row],[Estoque]]</f>
        <v>58</v>
      </c>
      <c r="G132" s="28">
        <v>39.9</v>
      </c>
    </row>
    <row r="133" spans="1:7" x14ac:dyDescent="0.3">
      <c r="A133" s="27" t="s">
        <v>370</v>
      </c>
      <c r="B133" s="46" t="s">
        <v>22</v>
      </c>
      <c r="C133" s="27" t="s">
        <v>4</v>
      </c>
      <c r="D133" s="49" t="s">
        <v>12</v>
      </c>
      <c r="E133" s="27">
        <v>59</v>
      </c>
      <c r="F133" s="48">
        <f>TB_Produtos[[#This Row],[Estoque]]</f>
        <v>59</v>
      </c>
      <c r="G133" s="28">
        <v>42.5</v>
      </c>
    </row>
    <row r="134" spans="1:7" x14ac:dyDescent="0.3">
      <c r="A134" s="27" t="s">
        <v>371</v>
      </c>
      <c r="B134" s="46" t="s">
        <v>165</v>
      </c>
      <c r="C134" s="27" t="s">
        <v>4</v>
      </c>
      <c r="D134" s="49" t="s">
        <v>110</v>
      </c>
      <c r="E134" s="27">
        <v>60</v>
      </c>
      <c r="F134" s="48">
        <f>TB_Produtos[[#This Row],[Estoque]]</f>
        <v>60</v>
      </c>
      <c r="G134" s="29">
        <v>69.900000000000006</v>
      </c>
    </row>
    <row r="135" spans="1:7" x14ac:dyDescent="0.3">
      <c r="A135" s="27" t="s">
        <v>372</v>
      </c>
      <c r="B135" s="46" t="s">
        <v>166</v>
      </c>
      <c r="C135" s="27" t="s">
        <v>3</v>
      </c>
      <c r="D135" s="49" t="s">
        <v>110</v>
      </c>
      <c r="E135" s="27">
        <v>61</v>
      </c>
      <c r="F135" s="48">
        <f>TB_Produtos[[#This Row],[Estoque]]</f>
        <v>61</v>
      </c>
      <c r="G135" s="29">
        <v>69.900000000000006</v>
      </c>
    </row>
    <row r="136" spans="1:7" x14ac:dyDescent="0.3">
      <c r="A136" s="27" t="s">
        <v>373</v>
      </c>
      <c r="B136" s="46" t="s">
        <v>167</v>
      </c>
      <c r="C136" s="27" t="s">
        <v>2</v>
      </c>
      <c r="D136" s="49" t="s">
        <v>110</v>
      </c>
      <c r="E136" s="27">
        <v>62</v>
      </c>
      <c r="F136" s="48">
        <f>TB_Produtos[[#This Row],[Estoque]]</f>
        <v>62</v>
      </c>
      <c r="G136" s="29">
        <v>55</v>
      </c>
    </row>
    <row r="137" spans="1:7" x14ac:dyDescent="0.3">
      <c r="A137" s="27" t="s">
        <v>374</v>
      </c>
      <c r="B137" s="46" t="s">
        <v>167</v>
      </c>
      <c r="C137" s="27" t="s">
        <v>3</v>
      </c>
      <c r="D137" s="49" t="s">
        <v>110</v>
      </c>
      <c r="E137" s="27">
        <v>63</v>
      </c>
      <c r="F137" s="48">
        <f>TB_Produtos[[#This Row],[Estoque]]</f>
        <v>63</v>
      </c>
      <c r="G137" s="29">
        <v>55</v>
      </c>
    </row>
    <row r="138" spans="1:7" x14ac:dyDescent="0.3">
      <c r="A138" s="27" t="s">
        <v>375</v>
      </c>
      <c r="B138" s="46" t="s">
        <v>167</v>
      </c>
      <c r="C138" s="27" t="s">
        <v>4</v>
      </c>
      <c r="D138" s="49" t="s">
        <v>110</v>
      </c>
      <c r="E138" s="27">
        <v>64</v>
      </c>
      <c r="F138" s="48">
        <f>TB_Produtos[[#This Row],[Estoque]]</f>
        <v>64</v>
      </c>
      <c r="G138" s="29">
        <v>55</v>
      </c>
    </row>
    <row r="139" spans="1:7" x14ac:dyDescent="0.3">
      <c r="A139" s="27" t="s">
        <v>376</v>
      </c>
      <c r="B139" s="46" t="s">
        <v>9</v>
      </c>
      <c r="C139" s="27" t="s">
        <v>2</v>
      </c>
      <c r="D139" s="49" t="s">
        <v>12</v>
      </c>
      <c r="E139" s="27">
        <v>6</v>
      </c>
      <c r="F139" s="27">
        <f>TB_Produtos[[#This Row],[Estoque]]</f>
        <v>6</v>
      </c>
      <c r="G139" s="47">
        <v>25.9</v>
      </c>
    </row>
    <row r="140" spans="1:7" x14ac:dyDescent="0.3">
      <c r="A140" s="27" t="s">
        <v>377</v>
      </c>
      <c r="B140" s="46" t="s">
        <v>9</v>
      </c>
      <c r="C140" s="27" t="s">
        <v>4</v>
      </c>
      <c r="D140" s="49" t="s">
        <v>12</v>
      </c>
      <c r="E140" s="27">
        <v>65</v>
      </c>
      <c r="F140" s="48">
        <f>TB_Produtos[[#This Row],[Estoque]]</f>
        <v>65</v>
      </c>
      <c r="G140" s="28">
        <v>32.9</v>
      </c>
    </row>
    <row r="141" spans="1:7" x14ac:dyDescent="0.3">
      <c r="A141" s="27" t="s">
        <v>378</v>
      </c>
      <c r="B141" s="46" t="s">
        <v>21</v>
      </c>
      <c r="C141" s="27" t="s">
        <v>3</v>
      </c>
      <c r="D141" s="49" t="s">
        <v>12</v>
      </c>
      <c r="E141" s="27">
        <v>10</v>
      </c>
      <c r="F141" s="27">
        <f>TB_Produtos[[#This Row],[Estoque]]</f>
        <v>10</v>
      </c>
      <c r="G141" s="47">
        <v>29.9</v>
      </c>
    </row>
    <row r="142" spans="1:7" x14ac:dyDescent="0.3">
      <c r="A142" s="27" t="s">
        <v>379</v>
      </c>
      <c r="B142" s="46" t="s">
        <v>21</v>
      </c>
      <c r="C142" s="27" t="s">
        <v>4</v>
      </c>
      <c r="D142" s="49" t="s">
        <v>12</v>
      </c>
      <c r="E142" s="27">
        <v>12</v>
      </c>
      <c r="F142" s="27">
        <f>TB_Produtos[[#This Row],[Estoque]]</f>
        <v>12</v>
      </c>
      <c r="G142" s="47">
        <v>32.9</v>
      </c>
    </row>
    <row r="143" spans="1:7" x14ac:dyDescent="0.3">
      <c r="A143" s="27" t="s">
        <v>380</v>
      </c>
      <c r="B143" s="46" t="s">
        <v>21</v>
      </c>
      <c r="C143" s="27" t="s">
        <v>2</v>
      </c>
      <c r="D143" s="49" t="s">
        <v>12</v>
      </c>
      <c r="E143" s="27">
        <v>66</v>
      </c>
      <c r="F143" s="48">
        <f>TB_Produtos[[#This Row],[Estoque]]</f>
        <v>66</v>
      </c>
      <c r="G143" s="28">
        <v>25.9</v>
      </c>
    </row>
    <row r="144" spans="1:7" x14ac:dyDescent="0.3">
      <c r="A144" s="27" t="s">
        <v>381</v>
      </c>
      <c r="B144" s="46" t="s">
        <v>21</v>
      </c>
      <c r="C144" s="27" t="s">
        <v>3</v>
      </c>
      <c r="D144" s="49" t="s">
        <v>12</v>
      </c>
      <c r="E144" s="27">
        <v>67</v>
      </c>
      <c r="F144" s="48">
        <f>TB_Produtos[[#This Row],[Estoque]]</f>
        <v>67</v>
      </c>
      <c r="G144" s="28">
        <v>29.9</v>
      </c>
    </row>
    <row r="145" spans="1:7" x14ac:dyDescent="0.3">
      <c r="A145" s="27" t="s">
        <v>382</v>
      </c>
      <c r="B145" s="46" t="s">
        <v>168</v>
      </c>
      <c r="C145" s="27" t="s">
        <v>4</v>
      </c>
      <c r="D145" s="49" t="s">
        <v>110</v>
      </c>
      <c r="E145" s="27">
        <v>68</v>
      </c>
      <c r="F145" s="48">
        <f>TB_Produtos[[#This Row],[Estoque]]</f>
        <v>68</v>
      </c>
      <c r="G145" s="29">
        <v>65</v>
      </c>
    </row>
    <row r="146" spans="1:7" x14ac:dyDescent="0.3">
      <c r="A146" s="27" t="s">
        <v>383</v>
      </c>
      <c r="B146" s="46" t="s">
        <v>169</v>
      </c>
      <c r="C146" s="27" t="s">
        <v>4</v>
      </c>
      <c r="D146" s="49" t="s">
        <v>110</v>
      </c>
      <c r="E146" s="27">
        <v>69</v>
      </c>
      <c r="F146" s="48">
        <f>TB_Produtos[[#This Row],[Estoque]]</f>
        <v>69</v>
      </c>
      <c r="G146" s="29">
        <v>79.900000000000006</v>
      </c>
    </row>
    <row r="147" spans="1:7" x14ac:dyDescent="0.3">
      <c r="A147" s="27" t="s">
        <v>384</v>
      </c>
      <c r="B147" s="46" t="s">
        <v>170</v>
      </c>
      <c r="C147" s="27" t="s">
        <v>4</v>
      </c>
      <c r="D147" s="49" t="s">
        <v>110</v>
      </c>
      <c r="E147" s="27">
        <v>70</v>
      </c>
      <c r="F147" s="48">
        <f>TB_Produtos[[#This Row],[Estoque]]</f>
        <v>70</v>
      </c>
      <c r="G147" s="29">
        <v>55</v>
      </c>
    </row>
    <row r="148" spans="1:7" x14ac:dyDescent="0.3">
      <c r="A148" s="27" t="s">
        <v>385</v>
      </c>
      <c r="B148" s="46" t="s">
        <v>171</v>
      </c>
      <c r="C148" s="27" t="s">
        <v>2</v>
      </c>
      <c r="D148" s="49" t="s">
        <v>146</v>
      </c>
      <c r="E148" s="27">
        <v>71</v>
      </c>
      <c r="F148" s="48">
        <f>TB_Produtos[[#This Row],[Estoque]]</f>
        <v>71</v>
      </c>
      <c r="G148" s="29">
        <v>99.9</v>
      </c>
    </row>
    <row r="149" spans="1:7" x14ac:dyDescent="0.3">
      <c r="A149" s="27" t="s">
        <v>386</v>
      </c>
      <c r="B149" s="46" t="s">
        <v>172</v>
      </c>
      <c r="C149" s="27" t="s">
        <v>3</v>
      </c>
      <c r="D149" s="49" t="s">
        <v>101</v>
      </c>
      <c r="E149" s="27">
        <v>72</v>
      </c>
      <c r="F149" s="48">
        <f>TB_Produtos[[#This Row],[Estoque]]</f>
        <v>72</v>
      </c>
      <c r="G149" s="29">
        <v>99.9</v>
      </c>
    </row>
    <row r="150" spans="1:7" x14ac:dyDescent="0.3">
      <c r="A150" s="27" t="s">
        <v>387</v>
      </c>
      <c r="B150" s="46" t="s">
        <v>173</v>
      </c>
      <c r="C150" s="27" t="s">
        <v>3</v>
      </c>
      <c r="D150" s="49" t="s">
        <v>101</v>
      </c>
      <c r="E150" s="27">
        <v>73</v>
      </c>
      <c r="F150" s="48">
        <f>TB_Produtos[[#This Row],[Estoque]]</f>
        <v>73</v>
      </c>
      <c r="G150" s="29">
        <v>159.9</v>
      </c>
    </row>
    <row r="151" spans="1:7" x14ac:dyDescent="0.3">
      <c r="A151" s="27" t="s">
        <v>388</v>
      </c>
      <c r="B151" s="46" t="s">
        <v>174</v>
      </c>
      <c r="C151" s="27" t="s">
        <v>8</v>
      </c>
      <c r="D151" s="49" t="s">
        <v>13</v>
      </c>
      <c r="E151" s="27">
        <v>74</v>
      </c>
      <c r="F151" s="48">
        <f>TB_Produtos[[#This Row],[Estoque]]</f>
        <v>74</v>
      </c>
      <c r="G151" s="29">
        <v>89.9</v>
      </c>
    </row>
    <row r="152" spans="1:7" x14ac:dyDescent="0.3">
      <c r="A152" s="27" t="s">
        <v>389</v>
      </c>
      <c r="B152" s="46" t="s">
        <v>175</v>
      </c>
      <c r="C152" s="27" t="s">
        <v>8</v>
      </c>
      <c r="D152" s="49" t="s">
        <v>96</v>
      </c>
      <c r="E152" s="27">
        <v>75</v>
      </c>
      <c r="F152" s="48">
        <f>TB_Produtos[[#This Row],[Estoque]]</f>
        <v>75</v>
      </c>
      <c r="G152" s="29">
        <v>289.89999999999998</v>
      </c>
    </row>
    <row r="153" spans="1:7" x14ac:dyDescent="0.3">
      <c r="A153" s="27" t="s">
        <v>390</v>
      </c>
      <c r="B153" s="46" t="s">
        <v>176</v>
      </c>
      <c r="C153" s="27">
        <v>43</v>
      </c>
      <c r="D153" s="49" t="s">
        <v>82</v>
      </c>
      <c r="E153" s="27">
        <v>76</v>
      </c>
      <c r="F153" s="48">
        <f>TB_Produtos[[#This Row],[Estoque]]</f>
        <v>76</v>
      </c>
      <c r="G153" s="29">
        <v>49.9</v>
      </c>
    </row>
    <row r="154" spans="1:7" x14ac:dyDescent="0.3">
      <c r="A154" s="27" t="s">
        <v>391</v>
      </c>
      <c r="B154" s="46" t="s">
        <v>7</v>
      </c>
      <c r="C154" s="27" t="s">
        <v>8</v>
      </c>
      <c r="D154" s="49" t="s">
        <v>13</v>
      </c>
      <c r="E154" s="27">
        <v>21</v>
      </c>
      <c r="F154" s="27">
        <f>TB_Produtos[[#This Row],[Estoque]]</f>
        <v>21</v>
      </c>
      <c r="G154" s="47">
        <v>49.9</v>
      </c>
    </row>
    <row r="155" spans="1:7" x14ac:dyDescent="0.3">
      <c r="A155" s="27" t="s">
        <v>392</v>
      </c>
      <c r="B155" s="46" t="s">
        <v>7</v>
      </c>
      <c r="C155" s="27" t="s">
        <v>8</v>
      </c>
      <c r="D155" s="49" t="s">
        <v>13</v>
      </c>
      <c r="E155" s="27">
        <v>77</v>
      </c>
      <c r="F155" s="48">
        <f>TB_Produtos[[#This Row],[Estoque]]</f>
        <v>77</v>
      </c>
      <c r="G155" s="28">
        <v>49.9</v>
      </c>
    </row>
    <row r="156" spans="1:7" x14ac:dyDescent="0.3">
      <c r="A156" s="27" t="s">
        <v>393</v>
      </c>
      <c r="B156" s="46" t="s">
        <v>177</v>
      </c>
      <c r="C156" s="27" t="s">
        <v>4</v>
      </c>
      <c r="D156" s="49" t="s">
        <v>13</v>
      </c>
      <c r="E156" s="27">
        <v>78</v>
      </c>
      <c r="F156" s="48">
        <f>TB_Produtos[[#This Row],[Estoque]]</f>
        <v>78</v>
      </c>
      <c r="G156" s="29">
        <v>85</v>
      </c>
    </row>
    <row r="157" spans="1:7" x14ac:dyDescent="0.3">
      <c r="A157" s="27" t="s">
        <v>394</v>
      </c>
      <c r="B157" s="46" t="s">
        <v>178</v>
      </c>
      <c r="C157" s="27" t="s">
        <v>3</v>
      </c>
      <c r="D157" s="49" t="s">
        <v>13</v>
      </c>
      <c r="E157" s="27">
        <v>79</v>
      </c>
      <c r="F157" s="48">
        <f>TB_Produtos[[#This Row],[Estoque]]</f>
        <v>79</v>
      </c>
      <c r="G157" s="29">
        <v>79.900000000000006</v>
      </c>
    </row>
    <row r="158" spans="1:7" x14ac:dyDescent="0.3">
      <c r="A158" s="27" t="s">
        <v>395</v>
      </c>
      <c r="B158" s="46" t="s">
        <v>179</v>
      </c>
      <c r="C158" s="27" t="s">
        <v>8</v>
      </c>
      <c r="D158" s="49" t="s">
        <v>13</v>
      </c>
      <c r="E158" s="27">
        <v>80</v>
      </c>
      <c r="F158" s="48">
        <f>TB_Produtos[[#This Row],[Estoque]]</f>
        <v>80</v>
      </c>
      <c r="G158" s="29">
        <v>95</v>
      </c>
    </row>
    <row r="159" spans="1:7" x14ac:dyDescent="0.3">
      <c r="A159" s="27" t="s">
        <v>396</v>
      </c>
      <c r="B159" s="46" t="s">
        <v>180</v>
      </c>
      <c r="C159" s="27" t="s">
        <v>8</v>
      </c>
      <c r="D159" s="49" t="s">
        <v>13</v>
      </c>
      <c r="E159" s="27">
        <v>81</v>
      </c>
      <c r="F159" s="48">
        <f>TB_Produtos[[#This Row],[Estoque]]</f>
        <v>81</v>
      </c>
      <c r="G159" s="29">
        <v>75</v>
      </c>
    </row>
    <row r="160" spans="1:7" x14ac:dyDescent="0.3">
      <c r="A160" s="27" t="s">
        <v>397</v>
      </c>
      <c r="B160" s="46" t="s">
        <v>181</v>
      </c>
      <c r="C160" s="27" t="s">
        <v>8</v>
      </c>
      <c r="D160" s="49" t="s">
        <v>13</v>
      </c>
      <c r="E160" s="27">
        <v>82</v>
      </c>
      <c r="F160" s="48">
        <f>TB_Produtos[[#This Row],[Estoque]]</f>
        <v>82</v>
      </c>
      <c r="G160" s="29">
        <v>49.9</v>
      </c>
    </row>
    <row r="161" spans="1:7" x14ac:dyDescent="0.3">
      <c r="A161" s="27" t="s">
        <v>398</v>
      </c>
      <c r="B161" s="46" t="s">
        <v>182</v>
      </c>
      <c r="C161" s="27" t="s">
        <v>3</v>
      </c>
      <c r="D161" s="49" t="s">
        <v>96</v>
      </c>
      <c r="E161" s="27">
        <v>83</v>
      </c>
      <c r="F161" s="48">
        <f>TB_Produtos[[#This Row],[Estoque]]</f>
        <v>83</v>
      </c>
      <c r="G161" s="29">
        <v>169.9</v>
      </c>
    </row>
    <row r="162" spans="1:7" x14ac:dyDescent="0.3">
      <c r="A162" s="27" t="s">
        <v>399</v>
      </c>
      <c r="B162" s="46" t="s">
        <v>183</v>
      </c>
      <c r="C162" s="27" t="s">
        <v>3</v>
      </c>
      <c r="D162" s="49" t="s">
        <v>146</v>
      </c>
      <c r="E162" s="27">
        <v>84</v>
      </c>
      <c r="F162" s="48">
        <f>TB_Produtos[[#This Row],[Estoque]]</f>
        <v>84</v>
      </c>
      <c r="G162" s="29">
        <v>75</v>
      </c>
    </row>
    <row r="163" spans="1:7" x14ac:dyDescent="0.3">
      <c r="A163" s="27" t="s">
        <v>400</v>
      </c>
      <c r="B163" s="46" t="s">
        <v>183</v>
      </c>
      <c r="C163" s="27" t="s">
        <v>4</v>
      </c>
      <c r="D163" s="49" t="s">
        <v>146</v>
      </c>
      <c r="E163" s="27">
        <v>85</v>
      </c>
      <c r="F163" s="48">
        <f>TB_Produtos[[#This Row],[Estoque]]</f>
        <v>85</v>
      </c>
      <c r="G163" s="29">
        <v>75</v>
      </c>
    </row>
    <row r="164" spans="1:7" x14ac:dyDescent="0.3">
      <c r="A164" s="27" t="s">
        <v>401</v>
      </c>
      <c r="B164" s="46" t="s">
        <v>184</v>
      </c>
      <c r="C164" s="27" t="s">
        <v>8</v>
      </c>
      <c r="D164" s="49" t="s">
        <v>13</v>
      </c>
      <c r="E164" s="27">
        <v>86</v>
      </c>
      <c r="F164" s="48">
        <f>TB_Produtos[[#This Row],[Estoque]]</f>
        <v>86</v>
      </c>
      <c r="G164" s="29">
        <v>65</v>
      </c>
    </row>
    <row r="165" spans="1:7" x14ac:dyDescent="0.3">
      <c r="A165" s="27" t="s">
        <v>402</v>
      </c>
      <c r="B165" s="46" t="s">
        <v>185</v>
      </c>
      <c r="C165" s="27" t="s">
        <v>8</v>
      </c>
      <c r="D165" s="49" t="s">
        <v>13</v>
      </c>
      <c r="E165" s="27">
        <v>87</v>
      </c>
      <c r="F165" s="48">
        <f>TB_Produtos[[#This Row],[Estoque]]</f>
        <v>87</v>
      </c>
      <c r="G165" s="29">
        <v>55</v>
      </c>
    </row>
    <row r="166" spans="1:7" x14ac:dyDescent="0.3">
      <c r="A166" s="27" t="s">
        <v>403</v>
      </c>
      <c r="B166" s="46" t="s">
        <v>186</v>
      </c>
      <c r="C166" s="27" t="s">
        <v>2</v>
      </c>
      <c r="D166" s="49" t="s">
        <v>96</v>
      </c>
      <c r="E166" s="27">
        <v>88</v>
      </c>
      <c r="F166" s="48">
        <f>TB_Produtos[[#This Row],[Estoque]]</f>
        <v>88</v>
      </c>
      <c r="G166" s="29">
        <v>189.9</v>
      </c>
    </row>
    <row r="167" spans="1:7" x14ac:dyDescent="0.3">
      <c r="A167" s="27" t="s">
        <v>404</v>
      </c>
      <c r="B167" s="46" t="s">
        <v>187</v>
      </c>
      <c r="C167" s="27" t="s">
        <v>3</v>
      </c>
      <c r="D167" s="49" t="s">
        <v>96</v>
      </c>
      <c r="E167" s="27">
        <v>89</v>
      </c>
      <c r="F167" s="48">
        <f>TB_Produtos[[#This Row],[Estoque]]</f>
        <v>89</v>
      </c>
      <c r="G167" s="29">
        <v>179.9</v>
      </c>
    </row>
    <row r="168" spans="1:7" x14ac:dyDescent="0.3">
      <c r="A168" s="27" t="s">
        <v>405</v>
      </c>
      <c r="B168" s="46" t="s">
        <v>26</v>
      </c>
      <c r="C168" s="27" t="s">
        <v>2</v>
      </c>
      <c r="D168" s="49" t="s">
        <v>12</v>
      </c>
      <c r="E168" s="27">
        <v>5</v>
      </c>
      <c r="F168" s="27">
        <f>TB_Produtos[[#This Row],[Estoque]]</f>
        <v>5</v>
      </c>
      <c r="G168" s="47">
        <v>299.89999999999998</v>
      </c>
    </row>
    <row r="169" spans="1:7" x14ac:dyDescent="0.3">
      <c r="A169" s="27" t="s">
        <v>406</v>
      </c>
      <c r="B169" s="46" t="s">
        <v>26</v>
      </c>
      <c r="C169" s="27" t="s">
        <v>3</v>
      </c>
      <c r="D169" s="49" t="s">
        <v>12</v>
      </c>
      <c r="E169" s="27">
        <v>5</v>
      </c>
      <c r="F169" s="27">
        <f>TB_Produtos[[#This Row],[Estoque]]</f>
        <v>5</v>
      </c>
      <c r="G169" s="47">
        <v>302.89999999999998</v>
      </c>
    </row>
    <row r="170" spans="1:7" x14ac:dyDescent="0.3">
      <c r="A170" s="27" t="s">
        <v>407</v>
      </c>
      <c r="B170" s="46" t="s">
        <v>26</v>
      </c>
      <c r="C170" s="27" t="s">
        <v>4</v>
      </c>
      <c r="D170" s="49" t="s">
        <v>12</v>
      </c>
      <c r="E170" s="27">
        <v>5</v>
      </c>
      <c r="F170" s="27">
        <f>TB_Produtos[[#This Row],[Estoque]]</f>
        <v>5</v>
      </c>
      <c r="G170" s="47">
        <v>300</v>
      </c>
    </row>
    <row r="171" spans="1:7" x14ac:dyDescent="0.3">
      <c r="A171" s="27" t="s">
        <v>408</v>
      </c>
      <c r="B171" s="46" t="s">
        <v>26</v>
      </c>
      <c r="C171" s="27" t="s">
        <v>2</v>
      </c>
      <c r="D171" s="49" t="s">
        <v>12</v>
      </c>
      <c r="E171" s="27">
        <v>90</v>
      </c>
      <c r="F171" s="48">
        <f>TB_Produtos[[#This Row],[Estoque]]</f>
        <v>90</v>
      </c>
      <c r="G171" s="28">
        <v>300</v>
      </c>
    </row>
    <row r="172" spans="1:7" x14ac:dyDescent="0.3">
      <c r="A172" s="27" t="s">
        <v>409</v>
      </c>
      <c r="B172" s="46" t="s">
        <v>26</v>
      </c>
      <c r="C172" s="27" t="s">
        <v>3</v>
      </c>
      <c r="D172" s="49" t="s">
        <v>12</v>
      </c>
      <c r="E172" s="27">
        <v>91</v>
      </c>
      <c r="F172" s="48">
        <f>TB_Produtos[[#This Row],[Estoque]]</f>
        <v>91</v>
      </c>
      <c r="G172" s="28">
        <v>302.89999999999998</v>
      </c>
    </row>
    <row r="173" spans="1:7" x14ac:dyDescent="0.3">
      <c r="A173" s="27" t="s">
        <v>410</v>
      </c>
      <c r="B173" s="46" t="s">
        <v>26</v>
      </c>
      <c r="C173" s="27" t="s">
        <v>4</v>
      </c>
      <c r="D173" s="49" t="s">
        <v>12</v>
      </c>
      <c r="E173" s="27">
        <v>92</v>
      </c>
      <c r="F173" s="48">
        <f>TB_Produtos[[#This Row],[Estoque]]</f>
        <v>92</v>
      </c>
      <c r="G173" s="28">
        <v>299.89999999999998</v>
      </c>
    </row>
    <row r="174" spans="1:7" x14ac:dyDescent="0.3">
      <c r="A174" s="27" t="s">
        <v>411</v>
      </c>
      <c r="B174" s="46" t="s">
        <v>188</v>
      </c>
      <c r="C174" s="27" t="s">
        <v>3</v>
      </c>
      <c r="D174" s="49" t="s">
        <v>96</v>
      </c>
      <c r="E174" s="27">
        <v>93</v>
      </c>
      <c r="F174" s="48">
        <f>TB_Produtos[[#This Row],[Estoque]]</f>
        <v>93</v>
      </c>
      <c r="G174" s="29">
        <v>249.9</v>
      </c>
    </row>
    <row r="175" spans="1:7" x14ac:dyDescent="0.3">
      <c r="A175" s="27" t="s">
        <v>412</v>
      </c>
      <c r="B175" s="46" t="s">
        <v>189</v>
      </c>
      <c r="C175" s="27" t="s">
        <v>3</v>
      </c>
      <c r="D175" s="49" t="s">
        <v>96</v>
      </c>
      <c r="E175" s="27">
        <v>94</v>
      </c>
      <c r="F175" s="48">
        <f>TB_Produtos[[#This Row],[Estoque]]</f>
        <v>94</v>
      </c>
      <c r="G175" s="29">
        <v>199.9</v>
      </c>
    </row>
    <row r="176" spans="1:7" x14ac:dyDescent="0.3">
      <c r="A176" s="27" t="s">
        <v>413</v>
      </c>
      <c r="B176" s="46" t="s">
        <v>189</v>
      </c>
      <c r="C176" s="27" t="s">
        <v>4</v>
      </c>
      <c r="D176" s="49" t="s">
        <v>96</v>
      </c>
      <c r="E176" s="27">
        <v>95</v>
      </c>
      <c r="F176" s="48">
        <f>TB_Produtos[[#This Row],[Estoque]]</f>
        <v>95</v>
      </c>
      <c r="G176" s="29">
        <v>199.9</v>
      </c>
    </row>
    <row r="177" spans="1:7" x14ac:dyDescent="0.3">
      <c r="A177" s="27" t="s">
        <v>414</v>
      </c>
      <c r="B177" s="46" t="s">
        <v>25</v>
      </c>
      <c r="C177" s="27" t="s">
        <v>2</v>
      </c>
      <c r="D177" s="49" t="s">
        <v>12</v>
      </c>
      <c r="E177" s="27">
        <v>5</v>
      </c>
      <c r="F177" s="27">
        <f>TB_Produtos[[#This Row],[Estoque]]</f>
        <v>5</v>
      </c>
      <c r="G177" s="47">
        <v>249.9</v>
      </c>
    </row>
    <row r="178" spans="1:7" x14ac:dyDescent="0.3">
      <c r="A178" s="27" t="s">
        <v>415</v>
      </c>
      <c r="B178" s="46" t="s">
        <v>25</v>
      </c>
      <c r="C178" s="27" t="s">
        <v>3</v>
      </c>
      <c r="D178" s="49" t="s">
        <v>12</v>
      </c>
      <c r="E178" s="27">
        <v>5</v>
      </c>
      <c r="F178" s="27">
        <f>TB_Produtos[[#This Row],[Estoque]]</f>
        <v>5</v>
      </c>
      <c r="G178" s="47">
        <v>259.89999999999998</v>
      </c>
    </row>
    <row r="179" spans="1:7" x14ac:dyDescent="0.3">
      <c r="A179" s="27" t="s">
        <v>416</v>
      </c>
      <c r="B179" s="46" t="s">
        <v>25</v>
      </c>
      <c r="C179" s="27" t="s">
        <v>4</v>
      </c>
      <c r="D179" s="49" t="s">
        <v>12</v>
      </c>
      <c r="E179" s="27">
        <v>5</v>
      </c>
      <c r="F179" s="27">
        <f>TB_Produtos[[#This Row],[Estoque]]</f>
        <v>5</v>
      </c>
      <c r="G179" s="47">
        <v>299.89999999999998</v>
      </c>
    </row>
    <row r="180" spans="1:7" x14ac:dyDescent="0.3">
      <c r="A180" s="27" t="s">
        <v>417</v>
      </c>
      <c r="B180" s="46" t="s">
        <v>25</v>
      </c>
      <c r="C180" s="27" t="s">
        <v>2</v>
      </c>
      <c r="D180" s="49" t="s">
        <v>12</v>
      </c>
      <c r="E180" s="27">
        <v>96</v>
      </c>
      <c r="F180" s="48">
        <f>TB_Produtos[[#This Row],[Estoque]]</f>
        <v>96</v>
      </c>
      <c r="G180" s="28">
        <v>249.9</v>
      </c>
    </row>
    <row r="181" spans="1:7" x14ac:dyDescent="0.3">
      <c r="A181" s="27" t="s">
        <v>418</v>
      </c>
      <c r="B181" s="46" t="s">
        <v>25</v>
      </c>
      <c r="C181" s="27" t="s">
        <v>3</v>
      </c>
      <c r="D181" s="49" t="s">
        <v>12</v>
      </c>
      <c r="E181" s="27">
        <v>97</v>
      </c>
      <c r="F181" s="48">
        <f>TB_Produtos[[#This Row],[Estoque]]</f>
        <v>97</v>
      </c>
      <c r="G181" s="28">
        <v>259.89999999999998</v>
      </c>
    </row>
    <row r="182" spans="1:7" x14ac:dyDescent="0.3">
      <c r="A182" s="27" t="s">
        <v>419</v>
      </c>
      <c r="B182" s="46" t="s">
        <v>25</v>
      </c>
      <c r="C182" s="27" t="s">
        <v>4</v>
      </c>
      <c r="D182" s="49" t="s">
        <v>12</v>
      </c>
      <c r="E182" s="27">
        <v>98</v>
      </c>
      <c r="F182" s="48">
        <f>TB_Produtos[[#This Row],[Estoque]]</f>
        <v>98</v>
      </c>
      <c r="G182" s="28">
        <v>299.89999999999998</v>
      </c>
    </row>
    <row r="183" spans="1:7" x14ac:dyDescent="0.3">
      <c r="A183" s="27" t="s">
        <v>420</v>
      </c>
      <c r="B183" s="46" t="s">
        <v>190</v>
      </c>
      <c r="C183" s="27" t="s">
        <v>2</v>
      </c>
      <c r="D183" s="49" t="s">
        <v>96</v>
      </c>
      <c r="E183" s="27">
        <v>99</v>
      </c>
      <c r="F183" s="48">
        <f>TB_Produtos[[#This Row],[Estoque]]</f>
        <v>99</v>
      </c>
      <c r="G183" s="29">
        <v>199.9</v>
      </c>
    </row>
    <row r="184" spans="1:7" x14ac:dyDescent="0.3">
      <c r="A184" s="27" t="s">
        <v>421</v>
      </c>
      <c r="B184" s="46" t="s">
        <v>190</v>
      </c>
      <c r="C184" s="27" t="s">
        <v>3</v>
      </c>
      <c r="D184" s="49" t="s">
        <v>96</v>
      </c>
      <c r="E184" s="27">
        <v>100</v>
      </c>
      <c r="F184" s="48">
        <f>TB_Produtos[[#This Row],[Estoque]]</f>
        <v>100</v>
      </c>
      <c r="G184" s="29">
        <v>199.9</v>
      </c>
    </row>
    <row r="185" spans="1:7" x14ac:dyDescent="0.3">
      <c r="A185" s="27" t="s">
        <v>422</v>
      </c>
      <c r="B185" s="46" t="s">
        <v>191</v>
      </c>
      <c r="C185" s="27" t="s">
        <v>2</v>
      </c>
      <c r="D185" s="49" t="s">
        <v>96</v>
      </c>
      <c r="E185" s="27">
        <v>101</v>
      </c>
      <c r="F185" s="48">
        <f>TB_Produtos[[#This Row],[Estoque]]</f>
        <v>101</v>
      </c>
      <c r="G185" s="29">
        <v>189.9</v>
      </c>
    </row>
    <row r="186" spans="1:7" x14ac:dyDescent="0.3">
      <c r="A186" s="27" t="s">
        <v>423</v>
      </c>
      <c r="B186" s="46" t="s">
        <v>191</v>
      </c>
      <c r="C186" s="27" t="s">
        <v>3</v>
      </c>
      <c r="D186" s="49" t="s">
        <v>96</v>
      </c>
      <c r="E186" s="27">
        <v>102</v>
      </c>
      <c r="F186" s="48">
        <f>TB_Produtos[[#This Row],[Estoque]]</f>
        <v>102</v>
      </c>
      <c r="G186" s="29">
        <v>189.9</v>
      </c>
    </row>
    <row r="187" spans="1:7" x14ac:dyDescent="0.3">
      <c r="A187" s="27" t="s">
        <v>424</v>
      </c>
      <c r="B187" s="46" t="s">
        <v>192</v>
      </c>
      <c r="C187" s="27" t="s">
        <v>3</v>
      </c>
      <c r="D187" s="49" t="s">
        <v>96</v>
      </c>
      <c r="E187" s="27">
        <v>103</v>
      </c>
      <c r="F187" s="48">
        <f>TB_Produtos[[#This Row],[Estoque]]</f>
        <v>103</v>
      </c>
      <c r="G187" s="29">
        <v>260</v>
      </c>
    </row>
    <row r="188" spans="1:7" x14ac:dyDescent="0.3">
      <c r="A188" s="27" t="s">
        <v>425</v>
      </c>
      <c r="B188" s="46" t="s">
        <v>193</v>
      </c>
      <c r="C188" s="27" t="s">
        <v>3</v>
      </c>
      <c r="D188" s="49" t="s">
        <v>96</v>
      </c>
      <c r="E188" s="27">
        <v>104</v>
      </c>
      <c r="F188" s="48">
        <f>TB_Produtos[[#This Row],[Estoque]]</f>
        <v>104</v>
      </c>
      <c r="G188" s="29">
        <v>199.9</v>
      </c>
    </row>
    <row r="189" spans="1:7" x14ac:dyDescent="0.3">
      <c r="A189" s="27" t="s">
        <v>426</v>
      </c>
      <c r="B189" s="46" t="s">
        <v>193</v>
      </c>
      <c r="C189" s="27" t="s">
        <v>4</v>
      </c>
      <c r="D189" s="49" t="s">
        <v>96</v>
      </c>
      <c r="E189" s="27">
        <v>105</v>
      </c>
      <c r="F189" s="48">
        <f>TB_Produtos[[#This Row],[Estoque]]</f>
        <v>105</v>
      </c>
      <c r="G189" s="29">
        <v>199.9</v>
      </c>
    </row>
    <row r="190" spans="1:7" x14ac:dyDescent="0.3">
      <c r="A190" s="27" t="s">
        <v>427</v>
      </c>
      <c r="B190" s="46" t="s">
        <v>194</v>
      </c>
      <c r="C190" s="27" t="s">
        <v>2</v>
      </c>
      <c r="D190" s="49" t="s">
        <v>124</v>
      </c>
      <c r="E190" s="27">
        <v>106</v>
      </c>
      <c r="F190" s="48">
        <f>TB_Produtos[[#This Row],[Estoque]]</f>
        <v>106</v>
      </c>
      <c r="G190" s="29">
        <v>79.900000000000006</v>
      </c>
    </row>
    <row r="191" spans="1:7" x14ac:dyDescent="0.3">
      <c r="A191" s="27" t="s">
        <v>428</v>
      </c>
      <c r="B191" s="46" t="s">
        <v>194</v>
      </c>
      <c r="C191" s="27" t="s">
        <v>3</v>
      </c>
      <c r="D191" s="49" t="s">
        <v>124</v>
      </c>
      <c r="E191" s="27">
        <v>107</v>
      </c>
      <c r="F191" s="48">
        <f>TB_Produtos[[#This Row],[Estoque]]</f>
        <v>107</v>
      </c>
      <c r="G191" s="29">
        <v>79.900000000000006</v>
      </c>
    </row>
    <row r="192" spans="1:7" x14ac:dyDescent="0.3">
      <c r="A192" s="27" t="s">
        <v>429</v>
      </c>
      <c r="B192" s="46" t="s">
        <v>194</v>
      </c>
      <c r="C192" s="27" t="s">
        <v>4</v>
      </c>
      <c r="D192" s="49" t="s">
        <v>124</v>
      </c>
      <c r="E192" s="27">
        <v>108</v>
      </c>
      <c r="F192" s="48">
        <f>TB_Produtos[[#This Row],[Estoque]]</f>
        <v>108</v>
      </c>
      <c r="G192" s="29">
        <v>79.900000000000006</v>
      </c>
    </row>
    <row r="193" spans="1:7" x14ac:dyDescent="0.3">
      <c r="A193" s="27" t="s">
        <v>430</v>
      </c>
      <c r="B193" s="46" t="s">
        <v>195</v>
      </c>
      <c r="C193" s="27" t="s">
        <v>8</v>
      </c>
      <c r="D193" s="49" t="s">
        <v>13</v>
      </c>
      <c r="E193" s="27">
        <v>109</v>
      </c>
      <c r="F193" s="48">
        <f>TB_Produtos[[#This Row],[Estoque]]</f>
        <v>109</v>
      </c>
      <c r="G193" s="29">
        <v>65</v>
      </c>
    </row>
    <row r="194" spans="1:7" x14ac:dyDescent="0.3">
      <c r="A194" s="27" t="s">
        <v>431</v>
      </c>
      <c r="B194" s="46" t="s">
        <v>196</v>
      </c>
      <c r="C194" s="27" t="s">
        <v>3</v>
      </c>
      <c r="D194" s="49" t="s">
        <v>13</v>
      </c>
      <c r="E194" s="27">
        <v>110</v>
      </c>
      <c r="F194" s="48">
        <f>TB_Produtos[[#This Row],[Estoque]]</f>
        <v>110</v>
      </c>
      <c r="G194" s="29">
        <v>110</v>
      </c>
    </row>
    <row r="195" spans="1:7" x14ac:dyDescent="0.3">
      <c r="A195" s="27" t="s">
        <v>432</v>
      </c>
      <c r="B195" s="46" t="s">
        <v>197</v>
      </c>
      <c r="C195" s="27" t="s">
        <v>8</v>
      </c>
      <c r="D195" s="49" t="s">
        <v>13</v>
      </c>
      <c r="E195" s="27">
        <v>111</v>
      </c>
      <c r="F195" s="48">
        <f>TB_Produtos[[#This Row],[Estoque]]</f>
        <v>111</v>
      </c>
      <c r="G195" s="29">
        <v>45</v>
      </c>
    </row>
    <row r="196" spans="1:7" x14ac:dyDescent="0.3">
      <c r="A196" s="27" t="s">
        <v>433</v>
      </c>
      <c r="B196" s="46" t="s">
        <v>198</v>
      </c>
      <c r="C196" s="27" t="s">
        <v>3</v>
      </c>
      <c r="D196" s="49" t="s">
        <v>199</v>
      </c>
      <c r="E196" s="27">
        <v>112</v>
      </c>
      <c r="F196" s="48">
        <f>TB_Produtos[[#This Row],[Estoque]]</f>
        <v>112</v>
      </c>
      <c r="G196" s="29">
        <v>139.9</v>
      </c>
    </row>
    <row r="197" spans="1:7" x14ac:dyDescent="0.3">
      <c r="A197" s="27" t="s">
        <v>434</v>
      </c>
      <c r="B197" s="46" t="s">
        <v>198</v>
      </c>
      <c r="C197" s="27" t="s">
        <v>4</v>
      </c>
      <c r="D197" s="49" t="s">
        <v>199</v>
      </c>
      <c r="E197" s="27">
        <v>113</v>
      </c>
      <c r="F197" s="48">
        <f>TB_Produtos[[#This Row],[Estoque]]</f>
        <v>113</v>
      </c>
      <c r="G197" s="29">
        <v>139.9</v>
      </c>
    </row>
    <row r="198" spans="1:7" x14ac:dyDescent="0.3">
      <c r="A198" s="27" t="s">
        <v>435</v>
      </c>
      <c r="B198" s="46" t="s">
        <v>200</v>
      </c>
      <c r="C198" s="27" t="s">
        <v>2</v>
      </c>
      <c r="D198" s="49" t="s">
        <v>199</v>
      </c>
      <c r="E198" s="27">
        <v>114</v>
      </c>
      <c r="F198" s="48">
        <f>TB_Produtos[[#This Row],[Estoque]]</f>
        <v>114</v>
      </c>
      <c r="G198" s="29">
        <v>220</v>
      </c>
    </row>
    <row r="199" spans="1:7" x14ac:dyDescent="0.3">
      <c r="A199" s="27" t="s">
        <v>436</v>
      </c>
      <c r="B199" s="46" t="s">
        <v>200</v>
      </c>
      <c r="C199" s="27" t="s">
        <v>3</v>
      </c>
      <c r="D199" s="49" t="s">
        <v>199</v>
      </c>
      <c r="E199" s="27">
        <v>115</v>
      </c>
      <c r="F199" s="48">
        <f>TB_Produtos[[#This Row],[Estoque]]</f>
        <v>115</v>
      </c>
      <c r="G199" s="29">
        <v>220</v>
      </c>
    </row>
    <row r="200" spans="1:7" x14ac:dyDescent="0.3">
      <c r="A200" s="27" t="s">
        <v>437</v>
      </c>
      <c r="B200" s="46" t="s">
        <v>201</v>
      </c>
      <c r="C200" s="27" t="s">
        <v>8</v>
      </c>
      <c r="D200" s="49" t="s">
        <v>202</v>
      </c>
      <c r="E200" s="27">
        <v>116</v>
      </c>
      <c r="F200" s="48">
        <f>TB_Produtos[[#This Row],[Estoque]]</f>
        <v>116</v>
      </c>
      <c r="G200" s="29">
        <v>25</v>
      </c>
    </row>
    <row r="201" spans="1:7" x14ac:dyDescent="0.3">
      <c r="A201" s="27" t="s">
        <v>438</v>
      </c>
      <c r="B201" s="46" t="s">
        <v>203</v>
      </c>
      <c r="C201" s="27" t="s">
        <v>8</v>
      </c>
      <c r="D201" s="49" t="s">
        <v>202</v>
      </c>
      <c r="E201" s="27">
        <v>117</v>
      </c>
      <c r="F201" s="48">
        <f>TB_Produtos[[#This Row],[Estoque]]</f>
        <v>117</v>
      </c>
      <c r="G201" s="29">
        <v>29.9</v>
      </c>
    </row>
    <row r="202" spans="1:7" x14ac:dyDescent="0.3">
      <c r="A202" s="27" t="s">
        <v>439</v>
      </c>
      <c r="B202" s="46" t="s">
        <v>204</v>
      </c>
      <c r="C202" s="27" t="s">
        <v>8</v>
      </c>
      <c r="D202" s="49" t="s">
        <v>202</v>
      </c>
      <c r="E202" s="27">
        <v>118</v>
      </c>
      <c r="F202" s="48">
        <f>TB_Produtos[[#This Row],[Estoque]]</f>
        <v>118</v>
      </c>
      <c r="G202" s="29">
        <v>35</v>
      </c>
    </row>
    <row r="203" spans="1:7" x14ac:dyDescent="0.3">
      <c r="A203" s="27" t="s">
        <v>440</v>
      </c>
      <c r="B203" s="46" t="s">
        <v>205</v>
      </c>
      <c r="C203" s="27" t="s">
        <v>8</v>
      </c>
      <c r="D203" s="49" t="s">
        <v>202</v>
      </c>
      <c r="E203" s="27">
        <v>119</v>
      </c>
      <c r="F203" s="48">
        <f>TB_Produtos[[#This Row],[Estoque]]</f>
        <v>119</v>
      </c>
      <c r="G203" s="29">
        <v>49.9</v>
      </c>
    </row>
    <row r="204" spans="1:7" x14ac:dyDescent="0.3">
      <c r="A204" s="27" t="s">
        <v>441</v>
      </c>
      <c r="B204" s="46" t="s">
        <v>206</v>
      </c>
      <c r="C204" s="27" t="s">
        <v>8</v>
      </c>
      <c r="D204" s="49" t="s">
        <v>202</v>
      </c>
      <c r="E204" s="27">
        <v>120</v>
      </c>
      <c r="F204" s="48">
        <f>TB_Produtos[[#This Row],[Estoque]]</f>
        <v>120</v>
      </c>
      <c r="G204" s="29">
        <v>19.899999999999999</v>
      </c>
    </row>
    <row r="205" spans="1:7" x14ac:dyDescent="0.3">
      <c r="A205" s="27" t="s">
        <v>442</v>
      </c>
      <c r="B205" s="46" t="s">
        <v>207</v>
      </c>
      <c r="C205" s="27" t="s">
        <v>8</v>
      </c>
      <c r="D205" s="49" t="s">
        <v>202</v>
      </c>
      <c r="E205" s="27">
        <v>121</v>
      </c>
      <c r="F205" s="48">
        <f>TB_Produtos[[#This Row],[Estoque]]</f>
        <v>121</v>
      </c>
      <c r="G205" s="29">
        <v>15</v>
      </c>
    </row>
    <row r="206" spans="1:7" x14ac:dyDescent="0.3">
      <c r="A206" s="27" t="s">
        <v>443</v>
      </c>
      <c r="B206" s="46" t="s">
        <v>208</v>
      </c>
      <c r="C206" s="27" t="s">
        <v>8</v>
      </c>
      <c r="D206" s="49" t="s">
        <v>202</v>
      </c>
      <c r="E206" s="27">
        <v>122</v>
      </c>
      <c r="F206" s="48">
        <f>TB_Produtos[[#This Row],[Estoque]]</f>
        <v>122</v>
      </c>
      <c r="G206" s="29">
        <v>29.9</v>
      </c>
    </row>
    <row r="207" spans="1:7" x14ac:dyDescent="0.3">
      <c r="A207" s="27" t="s">
        <v>444</v>
      </c>
      <c r="B207" s="46" t="s">
        <v>209</v>
      </c>
      <c r="C207" s="27" t="s">
        <v>8</v>
      </c>
      <c r="D207" s="49" t="s">
        <v>202</v>
      </c>
      <c r="E207" s="27">
        <v>123</v>
      </c>
      <c r="F207" s="48">
        <f>TB_Produtos[[#This Row],[Estoque]]</f>
        <v>123</v>
      </c>
      <c r="G207" s="29">
        <v>12</v>
      </c>
    </row>
    <row r="208" spans="1:7" x14ac:dyDescent="0.3">
      <c r="A208" s="27" t="s">
        <v>445</v>
      </c>
      <c r="B208" s="46" t="s">
        <v>210</v>
      </c>
      <c r="C208" s="27">
        <v>36</v>
      </c>
      <c r="D208" s="49" t="s">
        <v>82</v>
      </c>
      <c r="E208" s="27">
        <v>124</v>
      </c>
      <c r="F208" s="48">
        <f>TB_Produtos[[#This Row],[Estoque]]</f>
        <v>124</v>
      </c>
      <c r="G208" s="29">
        <v>139.9</v>
      </c>
    </row>
    <row r="209" spans="1:7" x14ac:dyDescent="0.3">
      <c r="A209" s="27" t="s">
        <v>446</v>
      </c>
      <c r="B209" s="46" t="s">
        <v>211</v>
      </c>
      <c r="C209" s="27" t="s">
        <v>8</v>
      </c>
      <c r="D209" s="49" t="s">
        <v>13</v>
      </c>
      <c r="E209" s="27">
        <v>125</v>
      </c>
      <c r="F209" s="48">
        <f>TB_Produtos[[#This Row],[Estoque]]</f>
        <v>125</v>
      </c>
      <c r="G209" s="29">
        <v>189.9</v>
      </c>
    </row>
    <row r="210" spans="1:7" x14ac:dyDescent="0.3">
      <c r="A210" s="27" t="s">
        <v>447</v>
      </c>
      <c r="B210" s="46" t="s">
        <v>212</v>
      </c>
      <c r="C210" s="27" t="s">
        <v>3</v>
      </c>
      <c r="D210" s="49" t="s">
        <v>101</v>
      </c>
      <c r="E210" s="27">
        <v>126</v>
      </c>
      <c r="F210" s="48">
        <f>TB_Produtos[[#This Row],[Estoque]]</f>
        <v>126</v>
      </c>
      <c r="G210" s="29">
        <v>159.9</v>
      </c>
    </row>
    <row r="211" spans="1:7" x14ac:dyDescent="0.3">
      <c r="A211" s="27" t="s">
        <v>448</v>
      </c>
      <c r="B211" s="46" t="s">
        <v>212</v>
      </c>
      <c r="C211" s="27" t="s">
        <v>4</v>
      </c>
      <c r="D211" s="49" t="s">
        <v>101</v>
      </c>
      <c r="E211" s="27">
        <v>127</v>
      </c>
      <c r="F211" s="48">
        <f>TB_Produtos[[#This Row],[Estoque]]</f>
        <v>127</v>
      </c>
      <c r="G211" s="29">
        <v>159.9</v>
      </c>
    </row>
    <row r="212" spans="1:7" x14ac:dyDescent="0.3">
      <c r="A212" s="27" t="s">
        <v>449</v>
      </c>
      <c r="B212" s="46" t="s">
        <v>213</v>
      </c>
      <c r="C212" s="27" t="s">
        <v>2</v>
      </c>
      <c r="D212" s="49" t="s">
        <v>101</v>
      </c>
      <c r="E212" s="27">
        <v>128</v>
      </c>
      <c r="F212" s="48">
        <f>TB_Produtos[[#This Row],[Estoque]]</f>
        <v>128</v>
      </c>
      <c r="G212" s="29">
        <v>119.9</v>
      </c>
    </row>
    <row r="213" spans="1:7" x14ac:dyDescent="0.3">
      <c r="A213" s="27" t="s">
        <v>450</v>
      </c>
      <c r="B213" s="46" t="s">
        <v>213</v>
      </c>
      <c r="C213" s="27" t="s">
        <v>3</v>
      </c>
      <c r="D213" s="49" t="s">
        <v>101</v>
      </c>
      <c r="E213" s="27">
        <v>129</v>
      </c>
      <c r="F213" s="48">
        <f>TB_Produtos[[#This Row],[Estoque]]</f>
        <v>129</v>
      </c>
      <c r="G213" s="29">
        <v>119.9</v>
      </c>
    </row>
    <row r="214" spans="1:7" x14ac:dyDescent="0.3">
      <c r="A214" s="27" t="s">
        <v>451</v>
      </c>
      <c r="B214" s="46" t="s">
        <v>214</v>
      </c>
      <c r="C214" s="27" t="s">
        <v>2</v>
      </c>
      <c r="D214" s="49" t="s">
        <v>101</v>
      </c>
      <c r="E214" s="27">
        <v>130</v>
      </c>
      <c r="F214" s="48">
        <f>TB_Produtos[[#This Row],[Estoque]]</f>
        <v>130</v>
      </c>
      <c r="G214" s="29">
        <v>145</v>
      </c>
    </row>
    <row r="215" spans="1:7" x14ac:dyDescent="0.3">
      <c r="A215" s="27" t="s">
        <v>452</v>
      </c>
      <c r="B215" s="46" t="s">
        <v>215</v>
      </c>
      <c r="C215" s="27" t="s">
        <v>8</v>
      </c>
      <c r="D215" s="49" t="s">
        <v>13</v>
      </c>
      <c r="E215" s="27">
        <v>131</v>
      </c>
      <c r="F215" s="48">
        <f>TB_Produtos[[#This Row],[Estoque]]</f>
        <v>131</v>
      </c>
      <c r="G215" s="29">
        <v>120</v>
      </c>
    </row>
    <row r="216" spans="1:7" x14ac:dyDescent="0.3">
      <c r="A216" s="27" t="s">
        <v>453</v>
      </c>
      <c r="B216" s="46" t="s">
        <v>216</v>
      </c>
      <c r="C216" s="27" t="s">
        <v>8</v>
      </c>
      <c r="D216" s="49" t="s">
        <v>13</v>
      </c>
      <c r="E216" s="27">
        <v>132</v>
      </c>
      <c r="F216" s="48">
        <f>TB_Produtos[[#This Row],[Estoque]]</f>
        <v>132</v>
      </c>
      <c r="G216" s="29">
        <v>89.9</v>
      </c>
    </row>
    <row r="217" spans="1:7" x14ac:dyDescent="0.3">
      <c r="A217" s="27" t="s">
        <v>454</v>
      </c>
      <c r="B217" s="46" t="s">
        <v>24</v>
      </c>
      <c r="C217" s="27" t="s">
        <v>8</v>
      </c>
      <c r="D217" s="49" t="s">
        <v>13</v>
      </c>
      <c r="E217" s="27">
        <v>3</v>
      </c>
      <c r="F217" s="27">
        <f>TB_Produtos[[#This Row],[Estoque]]</f>
        <v>3</v>
      </c>
      <c r="G217" s="47">
        <v>349.9</v>
      </c>
    </row>
    <row r="218" spans="1:7" x14ac:dyDescent="0.3">
      <c r="A218" s="27" t="s">
        <v>455</v>
      </c>
      <c r="B218" s="46" t="s">
        <v>24</v>
      </c>
      <c r="C218" s="27" t="s">
        <v>8</v>
      </c>
      <c r="D218" s="49" t="s">
        <v>13</v>
      </c>
      <c r="E218" s="27">
        <v>133</v>
      </c>
      <c r="F218" s="48">
        <f>TB_Produtos[[#This Row],[Estoque]]</f>
        <v>133</v>
      </c>
      <c r="G218" s="28">
        <v>349.9</v>
      </c>
    </row>
    <row r="219" spans="1:7" x14ac:dyDescent="0.3">
      <c r="A219" s="27" t="s">
        <v>456</v>
      </c>
      <c r="B219" s="46" t="s">
        <v>23</v>
      </c>
      <c r="C219" s="27" t="s">
        <v>8</v>
      </c>
      <c r="D219" s="49" t="s">
        <v>13</v>
      </c>
      <c r="E219" s="27">
        <v>3</v>
      </c>
      <c r="F219" s="27">
        <f>TB_Produtos[[#This Row],[Estoque]]</f>
        <v>3</v>
      </c>
      <c r="G219" s="47">
        <v>399.9</v>
      </c>
    </row>
    <row r="220" spans="1:7" x14ac:dyDescent="0.3">
      <c r="A220" s="27" t="s">
        <v>457</v>
      </c>
      <c r="B220" s="46" t="s">
        <v>23</v>
      </c>
      <c r="C220" s="27" t="s">
        <v>8</v>
      </c>
      <c r="D220" s="49" t="s">
        <v>13</v>
      </c>
      <c r="E220" s="27">
        <v>134</v>
      </c>
      <c r="F220" s="48">
        <f>TB_Produtos[[#This Row],[Estoque]]</f>
        <v>134</v>
      </c>
      <c r="G220" s="28">
        <v>399.9</v>
      </c>
    </row>
    <row r="221" spans="1:7" x14ac:dyDescent="0.3">
      <c r="A221" s="27" t="s">
        <v>458</v>
      </c>
      <c r="B221" s="46" t="s">
        <v>217</v>
      </c>
      <c r="C221" s="27" t="s">
        <v>2</v>
      </c>
      <c r="D221" s="49" t="s">
        <v>96</v>
      </c>
      <c r="E221" s="27">
        <v>135</v>
      </c>
      <c r="F221" s="48">
        <f>TB_Produtos[[#This Row],[Estoque]]</f>
        <v>135</v>
      </c>
      <c r="G221" s="29">
        <v>299.89999999999998</v>
      </c>
    </row>
    <row r="222" spans="1:7" x14ac:dyDescent="0.3">
      <c r="A222" s="27" t="s">
        <v>459</v>
      </c>
      <c r="B222" s="46" t="s">
        <v>218</v>
      </c>
      <c r="C222" s="27" t="s">
        <v>3</v>
      </c>
      <c r="D222" s="49" t="s">
        <v>146</v>
      </c>
      <c r="E222" s="27">
        <v>136</v>
      </c>
      <c r="F222" s="48">
        <f>TB_Produtos[[#This Row],[Estoque]]</f>
        <v>136</v>
      </c>
      <c r="G222" s="29">
        <v>159.9</v>
      </c>
    </row>
    <row r="223" spans="1:7" x14ac:dyDescent="0.3">
      <c r="A223" s="27" t="s">
        <v>460</v>
      </c>
      <c r="B223" s="46" t="s">
        <v>218</v>
      </c>
      <c r="C223" s="27" t="s">
        <v>4</v>
      </c>
      <c r="D223" s="49" t="s">
        <v>146</v>
      </c>
      <c r="E223" s="27">
        <v>137</v>
      </c>
      <c r="F223" s="48">
        <f>TB_Produtos[[#This Row],[Estoque]]</f>
        <v>137</v>
      </c>
      <c r="G223" s="29">
        <v>159.9</v>
      </c>
    </row>
    <row r="224" spans="1:7" x14ac:dyDescent="0.3">
      <c r="A224" s="27" t="s">
        <v>461</v>
      </c>
      <c r="B224" s="46" t="s">
        <v>219</v>
      </c>
      <c r="C224" s="27" t="s">
        <v>2</v>
      </c>
      <c r="D224" s="49" t="s">
        <v>146</v>
      </c>
      <c r="E224" s="27">
        <v>138</v>
      </c>
      <c r="F224" s="48">
        <f>TB_Produtos[[#This Row],[Estoque]]</f>
        <v>138</v>
      </c>
      <c r="G224" s="29">
        <v>109.9</v>
      </c>
    </row>
    <row r="225" spans="1:7" x14ac:dyDescent="0.3">
      <c r="A225" s="27" t="s">
        <v>462</v>
      </c>
      <c r="B225" s="46" t="s">
        <v>220</v>
      </c>
      <c r="C225" s="27" t="s">
        <v>4</v>
      </c>
      <c r="D225" s="49" t="s">
        <v>146</v>
      </c>
      <c r="E225" s="27">
        <v>139</v>
      </c>
      <c r="F225" s="48">
        <f>TB_Produtos[[#This Row],[Estoque]]</f>
        <v>139</v>
      </c>
      <c r="G225" s="29">
        <v>139.9</v>
      </c>
    </row>
    <row r="226" spans="1:7" x14ac:dyDescent="0.3">
      <c r="A226" s="27" t="s">
        <v>463</v>
      </c>
      <c r="B226" s="46" t="s">
        <v>221</v>
      </c>
      <c r="C226" s="27" t="s">
        <v>8</v>
      </c>
      <c r="D226" s="49" t="s">
        <v>13</v>
      </c>
      <c r="E226" s="27">
        <v>140</v>
      </c>
      <c r="F226" s="48">
        <f>TB_Produtos[[#This Row],[Estoque]]</f>
        <v>140</v>
      </c>
      <c r="G226" s="29">
        <v>89.9</v>
      </c>
    </row>
    <row r="227" spans="1:7" x14ac:dyDescent="0.3">
      <c r="A227" s="27" t="s">
        <v>464</v>
      </c>
      <c r="B227" s="46" t="s">
        <v>222</v>
      </c>
      <c r="C227" s="27" t="s">
        <v>8</v>
      </c>
      <c r="D227" s="49" t="s">
        <v>13</v>
      </c>
      <c r="E227" s="27">
        <v>141</v>
      </c>
      <c r="F227" s="48">
        <f>TB_Produtos[[#This Row],[Estoque]]</f>
        <v>141</v>
      </c>
      <c r="G227" s="29">
        <v>59.9</v>
      </c>
    </row>
    <row r="228" spans="1:7" x14ac:dyDescent="0.3">
      <c r="A228" s="27" t="s">
        <v>465</v>
      </c>
      <c r="B228" s="46" t="s">
        <v>223</v>
      </c>
      <c r="C228" s="27" t="s">
        <v>3</v>
      </c>
      <c r="D228" s="49" t="s">
        <v>110</v>
      </c>
      <c r="E228" s="27">
        <v>142</v>
      </c>
      <c r="F228" s="48">
        <f>TB_Produtos[[#This Row],[Estoque]]</f>
        <v>142</v>
      </c>
      <c r="G228" s="29">
        <v>39.9</v>
      </c>
    </row>
    <row r="229" spans="1:7" x14ac:dyDescent="0.3">
      <c r="A229" s="27" t="s">
        <v>466</v>
      </c>
      <c r="B229" s="46" t="s">
        <v>223</v>
      </c>
      <c r="C229" s="27" t="s">
        <v>4</v>
      </c>
      <c r="D229" s="49" t="s">
        <v>110</v>
      </c>
      <c r="E229" s="27">
        <v>143</v>
      </c>
      <c r="F229" s="48">
        <f>TB_Produtos[[#This Row],[Estoque]]</f>
        <v>143</v>
      </c>
      <c r="G229" s="29">
        <v>39.9</v>
      </c>
    </row>
    <row r="230" spans="1:7" x14ac:dyDescent="0.3">
      <c r="A230" s="27" t="s">
        <v>467</v>
      </c>
      <c r="B230" s="46" t="s">
        <v>224</v>
      </c>
      <c r="C230" s="27" t="s">
        <v>8</v>
      </c>
      <c r="D230" s="49" t="s">
        <v>13</v>
      </c>
      <c r="E230" s="27">
        <v>144</v>
      </c>
      <c r="F230" s="48">
        <f>TB_Produtos[[#This Row],[Estoque]]</f>
        <v>144</v>
      </c>
      <c r="G230" s="29">
        <v>150</v>
      </c>
    </row>
    <row r="231" spans="1:7" x14ac:dyDescent="0.3">
      <c r="A231" s="27" t="s">
        <v>468</v>
      </c>
      <c r="B231" s="46" t="s">
        <v>225</v>
      </c>
      <c r="C231" s="27" t="s">
        <v>8</v>
      </c>
      <c r="D231" s="49" t="s">
        <v>146</v>
      </c>
      <c r="E231" s="27">
        <v>145</v>
      </c>
      <c r="F231" s="48">
        <f>TB_Produtos[[#This Row],[Estoque]]</f>
        <v>145</v>
      </c>
      <c r="G231" s="29">
        <v>115</v>
      </c>
    </row>
    <row r="232" spans="1:7" x14ac:dyDescent="0.3">
      <c r="A232" s="27" t="s">
        <v>469</v>
      </c>
      <c r="B232" s="46" t="s">
        <v>226</v>
      </c>
      <c r="C232" s="27" t="s">
        <v>3</v>
      </c>
      <c r="D232" s="49" t="s">
        <v>91</v>
      </c>
      <c r="E232" s="27">
        <v>146</v>
      </c>
      <c r="F232" s="48">
        <f>TB_Produtos[[#This Row],[Estoque]]</f>
        <v>146</v>
      </c>
      <c r="G232" s="29">
        <v>145</v>
      </c>
    </row>
    <row r="233" spans="1:7" x14ac:dyDescent="0.3">
      <c r="A233" s="27" t="s">
        <v>470</v>
      </c>
      <c r="B233" s="46" t="s">
        <v>227</v>
      </c>
      <c r="C233" s="27">
        <v>36</v>
      </c>
      <c r="D233" s="49" t="s">
        <v>91</v>
      </c>
      <c r="E233" s="27">
        <v>147</v>
      </c>
      <c r="F233" s="48">
        <f>TB_Produtos[[#This Row],[Estoque]]</f>
        <v>147</v>
      </c>
      <c r="G233" s="29">
        <v>95</v>
      </c>
    </row>
    <row r="234" spans="1:7" x14ac:dyDescent="0.3">
      <c r="A234" s="27" t="s">
        <v>471</v>
      </c>
      <c r="B234" s="46" t="s">
        <v>227</v>
      </c>
      <c r="C234" s="27">
        <v>38</v>
      </c>
      <c r="D234" s="49" t="s">
        <v>91</v>
      </c>
      <c r="E234" s="27">
        <v>148</v>
      </c>
      <c r="F234" s="48">
        <f>TB_Produtos[[#This Row],[Estoque]]</f>
        <v>148</v>
      </c>
      <c r="G234" s="29">
        <v>95</v>
      </c>
    </row>
    <row r="235" spans="1:7" x14ac:dyDescent="0.3">
      <c r="A235" s="27" t="s">
        <v>472</v>
      </c>
      <c r="B235" s="46" t="s">
        <v>228</v>
      </c>
      <c r="C235" s="27" t="s">
        <v>2</v>
      </c>
      <c r="D235" s="49" t="s">
        <v>91</v>
      </c>
      <c r="E235" s="27">
        <v>149</v>
      </c>
      <c r="F235" s="48">
        <f>TB_Produtos[[#This Row],[Estoque]]</f>
        <v>149</v>
      </c>
      <c r="G235" s="29">
        <v>119.9</v>
      </c>
    </row>
    <row r="236" spans="1:7" x14ac:dyDescent="0.3">
      <c r="A236" s="27" t="s">
        <v>473</v>
      </c>
      <c r="B236" s="46" t="s">
        <v>229</v>
      </c>
      <c r="C236" s="27" t="s">
        <v>3</v>
      </c>
      <c r="D236" s="49" t="s">
        <v>91</v>
      </c>
      <c r="E236" s="27">
        <v>150</v>
      </c>
      <c r="F236" s="48">
        <f>TB_Produtos[[#This Row],[Estoque]]</f>
        <v>150</v>
      </c>
      <c r="G236" s="29">
        <v>179.9</v>
      </c>
    </row>
    <row r="237" spans="1:7" x14ac:dyDescent="0.3">
      <c r="A237" s="27" t="s">
        <v>474</v>
      </c>
      <c r="B237" s="46" t="s">
        <v>230</v>
      </c>
      <c r="C237" s="27" t="s">
        <v>3</v>
      </c>
      <c r="D237" s="49" t="s">
        <v>91</v>
      </c>
      <c r="E237" s="27">
        <v>151</v>
      </c>
      <c r="F237" s="48">
        <f>TB_Produtos[[#This Row],[Estoque]]</f>
        <v>151</v>
      </c>
      <c r="G237" s="29">
        <v>129.9</v>
      </c>
    </row>
    <row r="238" spans="1:7" x14ac:dyDescent="0.3">
      <c r="A238" s="27" t="s">
        <v>475</v>
      </c>
      <c r="B238" s="46" t="s">
        <v>231</v>
      </c>
      <c r="C238" s="27" t="s">
        <v>3</v>
      </c>
      <c r="D238" s="49" t="s">
        <v>91</v>
      </c>
      <c r="E238" s="27">
        <v>152</v>
      </c>
      <c r="F238" s="48">
        <f>TB_Produtos[[#This Row],[Estoque]]</f>
        <v>152</v>
      </c>
      <c r="G238" s="29">
        <v>139.9</v>
      </c>
    </row>
    <row r="239" spans="1:7" x14ac:dyDescent="0.3">
      <c r="A239" s="27" t="s">
        <v>476</v>
      </c>
      <c r="B239" s="46" t="s">
        <v>232</v>
      </c>
      <c r="C239" s="27">
        <v>35</v>
      </c>
      <c r="D239" s="49" t="s">
        <v>82</v>
      </c>
      <c r="E239" s="27">
        <v>153</v>
      </c>
      <c r="F239" s="48">
        <f>TB_Produtos[[#This Row],[Estoque]]</f>
        <v>153</v>
      </c>
      <c r="G239" s="29">
        <v>129.9</v>
      </c>
    </row>
    <row r="240" spans="1:7" x14ac:dyDescent="0.3">
      <c r="A240" s="27" t="s">
        <v>477</v>
      </c>
      <c r="B240" s="46" t="s">
        <v>233</v>
      </c>
      <c r="C240" s="27">
        <v>35</v>
      </c>
      <c r="D240" s="49" t="s">
        <v>82</v>
      </c>
      <c r="E240" s="27">
        <v>154</v>
      </c>
      <c r="F240" s="48">
        <f>TB_Produtos[[#This Row],[Estoque]]</f>
        <v>154</v>
      </c>
      <c r="G240" s="29">
        <v>79.900000000000006</v>
      </c>
    </row>
    <row r="241" spans="1:7" x14ac:dyDescent="0.3">
      <c r="A241" s="27" t="s">
        <v>478</v>
      </c>
      <c r="B241" s="46" t="s">
        <v>234</v>
      </c>
      <c r="C241" s="27">
        <v>38</v>
      </c>
      <c r="D241" s="49" t="s">
        <v>82</v>
      </c>
      <c r="E241" s="27">
        <v>155</v>
      </c>
      <c r="F241" s="48">
        <f>TB_Produtos[[#This Row],[Estoque]]</f>
        <v>155</v>
      </c>
      <c r="G241" s="29">
        <v>169.9</v>
      </c>
    </row>
    <row r="242" spans="1:7" x14ac:dyDescent="0.3">
      <c r="A242" s="27" t="s">
        <v>479</v>
      </c>
      <c r="B242" s="46" t="s">
        <v>235</v>
      </c>
      <c r="C242" s="27">
        <v>40</v>
      </c>
      <c r="D242" s="49" t="s">
        <v>82</v>
      </c>
      <c r="E242" s="27">
        <v>156</v>
      </c>
      <c r="F242" s="48">
        <f>TB_Produtos[[#This Row],[Estoque]]</f>
        <v>156</v>
      </c>
      <c r="G242" s="29">
        <v>189.9</v>
      </c>
    </row>
    <row r="243" spans="1:7" x14ac:dyDescent="0.3">
      <c r="A243" s="27" t="s">
        <v>480</v>
      </c>
      <c r="B243" s="46" t="s">
        <v>235</v>
      </c>
      <c r="C243" s="27">
        <v>41</v>
      </c>
      <c r="D243" s="49" t="s">
        <v>82</v>
      </c>
      <c r="E243" s="27">
        <v>157</v>
      </c>
      <c r="F243" s="48">
        <f>TB_Produtos[[#This Row],[Estoque]]</f>
        <v>157</v>
      </c>
      <c r="G243" s="29">
        <v>189.9</v>
      </c>
    </row>
    <row r="244" spans="1:7" x14ac:dyDescent="0.3">
      <c r="A244" s="27" t="s">
        <v>481</v>
      </c>
      <c r="B244" s="46" t="s">
        <v>236</v>
      </c>
      <c r="C244" s="27">
        <v>36</v>
      </c>
      <c r="D244" s="49" t="s">
        <v>82</v>
      </c>
      <c r="E244" s="27">
        <v>158</v>
      </c>
      <c r="F244" s="48">
        <f>TB_Produtos[[#This Row],[Estoque]]</f>
        <v>158</v>
      </c>
      <c r="G244" s="29">
        <v>89.9</v>
      </c>
    </row>
    <row r="245" spans="1:7" x14ac:dyDescent="0.3">
      <c r="A245" s="27" t="s">
        <v>482</v>
      </c>
      <c r="B245" s="46" t="s">
        <v>237</v>
      </c>
      <c r="C245" s="27">
        <v>38</v>
      </c>
      <c r="D245" s="49" t="s">
        <v>82</v>
      </c>
      <c r="E245" s="27">
        <v>159</v>
      </c>
      <c r="F245" s="48">
        <f>TB_Produtos[[#This Row],[Estoque]]</f>
        <v>159</v>
      </c>
      <c r="G245" s="29">
        <v>149.9</v>
      </c>
    </row>
    <row r="246" spans="1:7" x14ac:dyDescent="0.3">
      <c r="A246" s="27" t="s">
        <v>483</v>
      </c>
      <c r="B246" s="46" t="s">
        <v>238</v>
      </c>
      <c r="C246" s="27">
        <v>43</v>
      </c>
      <c r="D246" s="49" t="s">
        <v>82</v>
      </c>
      <c r="E246" s="27">
        <v>160</v>
      </c>
      <c r="F246" s="48">
        <f>TB_Produtos[[#This Row],[Estoque]]</f>
        <v>160</v>
      </c>
      <c r="G246" s="29">
        <v>299.89999999999998</v>
      </c>
    </row>
    <row r="247" spans="1:7" x14ac:dyDescent="0.3">
      <c r="A247" s="27" t="s">
        <v>484</v>
      </c>
      <c r="B247" s="46" t="s">
        <v>239</v>
      </c>
      <c r="C247" s="27">
        <v>38</v>
      </c>
      <c r="D247" s="49" t="s">
        <v>82</v>
      </c>
      <c r="E247" s="27">
        <v>161</v>
      </c>
      <c r="F247" s="48">
        <f>TB_Produtos[[#This Row],[Estoque]]</f>
        <v>161</v>
      </c>
      <c r="G247" s="29">
        <v>159.9</v>
      </c>
    </row>
    <row r="248" spans="1:7" x14ac:dyDescent="0.3">
      <c r="A248" s="27" t="s">
        <v>485</v>
      </c>
      <c r="B248" s="46" t="s">
        <v>240</v>
      </c>
      <c r="C248" s="27" t="s">
        <v>2</v>
      </c>
      <c r="D248" s="49" t="s">
        <v>91</v>
      </c>
      <c r="E248" s="27">
        <v>162</v>
      </c>
      <c r="F248" s="48">
        <f>TB_Produtos[[#This Row],[Estoque]]</f>
        <v>162</v>
      </c>
      <c r="G248" s="29">
        <v>79.900000000000006</v>
      </c>
    </row>
    <row r="249" spans="1:7" x14ac:dyDescent="0.3">
      <c r="A249" s="27" t="s">
        <v>486</v>
      </c>
      <c r="B249" s="46" t="s">
        <v>240</v>
      </c>
      <c r="C249" s="27" t="s">
        <v>3</v>
      </c>
      <c r="D249" s="49" t="s">
        <v>91</v>
      </c>
      <c r="E249" s="27">
        <v>163</v>
      </c>
      <c r="F249" s="48">
        <f>TB_Produtos[[#This Row],[Estoque]]</f>
        <v>163</v>
      </c>
      <c r="G249" s="29">
        <v>79.900000000000006</v>
      </c>
    </row>
    <row r="250" spans="1:7" x14ac:dyDescent="0.3">
      <c r="A250" s="27" t="s">
        <v>487</v>
      </c>
      <c r="B250" s="46" t="s">
        <v>241</v>
      </c>
      <c r="C250" s="27" t="s">
        <v>3</v>
      </c>
      <c r="D250" s="49" t="s">
        <v>91</v>
      </c>
      <c r="E250" s="27">
        <v>164</v>
      </c>
      <c r="F250" s="48">
        <f>TB_Produtos[[#This Row],[Estoque]]</f>
        <v>164</v>
      </c>
      <c r="G250" s="29">
        <v>110</v>
      </c>
    </row>
    <row r="251" spans="1:7" x14ac:dyDescent="0.3">
      <c r="A251" s="27" t="s">
        <v>488</v>
      </c>
      <c r="B251" s="46" t="s">
        <v>242</v>
      </c>
      <c r="C251" s="27">
        <v>38</v>
      </c>
      <c r="D251" s="49" t="s">
        <v>91</v>
      </c>
      <c r="E251" s="27">
        <v>165</v>
      </c>
      <c r="F251" s="48">
        <f>TB_Produtos[[#This Row],[Estoque]]</f>
        <v>165</v>
      </c>
      <c r="G251" s="29">
        <v>99.9</v>
      </c>
    </row>
    <row r="252" spans="1:7" x14ac:dyDescent="0.3">
      <c r="A252" s="27" t="s">
        <v>489</v>
      </c>
      <c r="B252" s="46" t="s">
        <v>242</v>
      </c>
      <c r="C252" s="27">
        <v>40</v>
      </c>
      <c r="D252" s="49" t="s">
        <v>91</v>
      </c>
      <c r="E252" s="27">
        <v>166</v>
      </c>
      <c r="F252" s="48">
        <f>TB_Produtos[[#This Row],[Estoque]]</f>
        <v>166</v>
      </c>
      <c r="G252" s="29">
        <v>99.9</v>
      </c>
    </row>
    <row r="253" spans="1:7" x14ac:dyDescent="0.3">
      <c r="A253" s="27" t="s">
        <v>490</v>
      </c>
      <c r="B253" s="46" t="s">
        <v>243</v>
      </c>
      <c r="C253" s="27">
        <v>40</v>
      </c>
      <c r="D253" s="49" t="s">
        <v>91</v>
      </c>
      <c r="E253" s="27">
        <v>167</v>
      </c>
      <c r="F253" s="48">
        <f>TB_Produtos[[#This Row],[Estoque]]</f>
        <v>167</v>
      </c>
      <c r="G253" s="29">
        <v>99.9</v>
      </c>
    </row>
    <row r="254" spans="1:7" x14ac:dyDescent="0.3">
      <c r="A254" s="27" t="s">
        <v>491</v>
      </c>
      <c r="B254" s="46" t="s">
        <v>244</v>
      </c>
      <c r="C254" s="27" t="s">
        <v>3</v>
      </c>
      <c r="D254" s="49" t="s">
        <v>91</v>
      </c>
      <c r="E254" s="27">
        <v>168</v>
      </c>
      <c r="F254" s="48">
        <f>TB_Produtos[[#This Row],[Estoque]]</f>
        <v>168</v>
      </c>
      <c r="G254" s="29">
        <v>79.900000000000006</v>
      </c>
    </row>
    <row r="255" spans="1:7" x14ac:dyDescent="0.3">
      <c r="A255" s="27" t="s">
        <v>492</v>
      </c>
      <c r="B255" s="46" t="s">
        <v>245</v>
      </c>
      <c r="C255" s="27" t="s">
        <v>2</v>
      </c>
      <c r="D255" s="49" t="s">
        <v>91</v>
      </c>
      <c r="E255" s="27">
        <v>169</v>
      </c>
      <c r="F255" s="48">
        <f>TB_Produtos[[#This Row],[Estoque]]</f>
        <v>169</v>
      </c>
      <c r="G255" s="29">
        <v>89.9</v>
      </c>
    </row>
    <row r="256" spans="1:7" x14ac:dyDescent="0.3">
      <c r="A256" s="27" t="s">
        <v>493</v>
      </c>
      <c r="B256" s="46" t="s">
        <v>245</v>
      </c>
      <c r="C256" s="27" t="s">
        <v>3</v>
      </c>
      <c r="D256" s="49" t="s">
        <v>91</v>
      </c>
      <c r="E256" s="27">
        <v>170</v>
      </c>
      <c r="F256" s="48">
        <f>TB_Produtos[[#This Row],[Estoque]]</f>
        <v>170</v>
      </c>
      <c r="G256" s="29">
        <v>89.9</v>
      </c>
    </row>
    <row r="257" spans="1:7" x14ac:dyDescent="0.3">
      <c r="A257" s="27" t="s">
        <v>494</v>
      </c>
      <c r="B257" s="46" t="s">
        <v>246</v>
      </c>
      <c r="C257" s="27" t="s">
        <v>4</v>
      </c>
      <c r="D257" s="49" t="s">
        <v>96</v>
      </c>
      <c r="E257" s="27">
        <v>171</v>
      </c>
      <c r="F257" s="48">
        <f>TB_Produtos[[#This Row],[Estoque]]</f>
        <v>171</v>
      </c>
      <c r="G257" s="29">
        <v>350</v>
      </c>
    </row>
    <row r="258" spans="1:7" x14ac:dyDescent="0.3">
      <c r="A258" s="27" t="s">
        <v>495</v>
      </c>
      <c r="B258" s="46" t="s">
        <v>247</v>
      </c>
      <c r="C258" s="27" t="s">
        <v>3</v>
      </c>
      <c r="D258" s="49" t="s">
        <v>96</v>
      </c>
      <c r="E258" s="27">
        <v>172</v>
      </c>
      <c r="F258" s="48">
        <f>TB_Produtos[[#This Row],[Estoque]]</f>
        <v>172</v>
      </c>
      <c r="G258" s="29">
        <v>320</v>
      </c>
    </row>
    <row r="259" spans="1:7" x14ac:dyDescent="0.3">
      <c r="A259" s="27" t="s">
        <v>496</v>
      </c>
      <c r="B259" s="46" t="s">
        <v>248</v>
      </c>
      <c r="C259" s="27" t="s">
        <v>3</v>
      </c>
      <c r="D259" s="49" t="s">
        <v>101</v>
      </c>
      <c r="E259" s="27">
        <v>173</v>
      </c>
      <c r="F259" s="48">
        <f>TB_Produtos[[#This Row],[Estoque]]</f>
        <v>173</v>
      </c>
      <c r="G259" s="29">
        <v>189.9</v>
      </c>
    </row>
    <row r="260" spans="1:7" x14ac:dyDescent="0.3">
      <c r="A260" s="27" t="s">
        <v>497</v>
      </c>
      <c r="B260" s="46" t="s">
        <v>249</v>
      </c>
      <c r="C260" s="27" t="s">
        <v>4</v>
      </c>
      <c r="D260" s="49" t="s">
        <v>101</v>
      </c>
      <c r="E260" s="27">
        <v>174</v>
      </c>
      <c r="F260" s="48">
        <f>TB_Produtos[[#This Row],[Estoque]]</f>
        <v>174</v>
      </c>
      <c r="G260" s="29">
        <v>139.9</v>
      </c>
    </row>
    <row r="261" spans="1:7" x14ac:dyDescent="0.3">
      <c r="A261" s="27" t="s">
        <v>498</v>
      </c>
      <c r="B261" s="46" t="s">
        <v>250</v>
      </c>
      <c r="C261" s="27" t="s">
        <v>8</v>
      </c>
      <c r="D261" s="49" t="s">
        <v>146</v>
      </c>
      <c r="E261" s="27">
        <v>175</v>
      </c>
      <c r="F261" s="48">
        <f>TB_Produtos[[#This Row],[Estoque]]</f>
        <v>175</v>
      </c>
      <c r="G261" s="29">
        <v>55</v>
      </c>
    </row>
    <row r="262" spans="1:7" x14ac:dyDescent="0.3">
      <c r="A262" s="27" t="s">
        <v>499</v>
      </c>
      <c r="B262" s="46" t="s">
        <v>251</v>
      </c>
      <c r="C262" s="27" t="s">
        <v>3</v>
      </c>
      <c r="D262" s="49" t="s">
        <v>146</v>
      </c>
      <c r="E262" s="27">
        <v>176</v>
      </c>
      <c r="F262" s="48">
        <f>TB_Produtos[[#This Row],[Estoque]]</f>
        <v>176</v>
      </c>
      <c r="G262" s="29">
        <v>45</v>
      </c>
    </row>
    <row r="263" spans="1:7" x14ac:dyDescent="0.3">
      <c r="A263" s="27" t="s">
        <v>500</v>
      </c>
      <c r="B263" s="46" t="s">
        <v>252</v>
      </c>
      <c r="C263" s="27" t="s">
        <v>2</v>
      </c>
      <c r="D263" s="49" t="s">
        <v>146</v>
      </c>
      <c r="E263" s="27">
        <v>177</v>
      </c>
      <c r="F263" s="48">
        <f>TB_Produtos[[#This Row],[Estoque]]</f>
        <v>177</v>
      </c>
      <c r="G263" s="29">
        <v>65</v>
      </c>
    </row>
    <row r="264" spans="1:7" x14ac:dyDescent="0.3">
      <c r="A264" s="27" t="s">
        <v>501</v>
      </c>
      <c r="B264" s="46" t="s">
        <v>253</v>
      </c>
      <c r="C264" s="27" t="s">
        <v>3</v>
      </c>
      <c r="D264" s="49" t="s">
        <v>146</v>
      </c>
      <c r="E264" s="27">
        <v>178</v>
      </c>
      <c r="F264" s="48">
        <f>TB_Produtos[[#This Row],[Estoque]]</f>
        <v>178</v>
      </c>
      <c r="G264" s="29">
        <v>79.900000000000006</v>
      </c>
    </row>
    <row r="265" spans="1:7" x14ac:dyDescent="0.3">
      <c r="A265" s="27" t="s">
        <v>502</v>
      </c>
      <c r="B265" s="46" t="s">
        <v>254</v>
      </c>
      <c r="C265" s="27" t="s">
        <v>4</v>
      </c>
      <c r="D265" s="49" t="s">
        <v>146</v>
      </c>
      <c r="E265" s="27">
        <v>179</v>
      </c>
      <c r="F265" s="48">
        <f>TB_Produtos[[#This Row],[Estoque]]</f>
        <v>179</v>
      </c>
      <c r="G265" s="29">
        <v>79.900000000000006</v>
      </c>
    </row>
    <row r="266" spans="1:7" x14ac:dyDescent="0.3">
      <c r="A266" s="27" t="s">
        <v>503</v>
      </c>
      <c r="B266" s="46" t="s">
        <v>255</v>
      </c>
      <c r="C266" s="27" t="s">
        <v>2</v>
      </c>
      <c r="D266" s="49" t="s">
        <v>146</v>
      </c>
      <c r="E266" s="27">
        <v>180</v>
      </c>
      <c r="F266" s="48">
        <f>TB_Produtos[[#This Row],[Estoque]]</f>
        <v>180</v>
      </c>
      <c r="G266" s="29">
        <v>55</v>
      </c>
    </row>
    <row r="267" spans="1:7" x14ac:dyDescent="0.3">
      <c r="A267" s="27" t="s">
        <v>504</v>
      </c>
      <c r="B267" s="46" t="s">
        <v>256</v>
      </c>
      <c r="C267" s="27" t="s">
        <v>3</v>
      </c>
      <c r="D267" s="49" t="s">
        <v>146</v>
      </c>
      <c r="E267" s="27">
        <v>181</v>
      </c>
      <c r="F267" s="48">
        <f>TB_Produtos[[#This Row],[Estoque]]</f>
        <v>181</v>
      </c>
      <c r="G267" s="29">
        <v>49.9</v>
      </c>
    </row>
    <row r="268" spans="1:7" x14ac:dyDescent="0.3">
      <c r="A268" s="27" t="s">
        <v>505</v>
      </c>
      <c r="B268" s="46" t="s">
        <v>32</v>
      </c>
      <c r="C268" s="27">
        <v>36</v>
      </c>
      <c r="D268" s="49" t="s">
        <v>14</v>
      </c>
      <c r="E268" s="27">
        <v>5</v>
      </c>
      <c r="F268" s="27">
        <f>TB_Produtos[[#This Row],[Estoque]]</f>
        <v>5</v>
      </c>
      <c r="G268" s="47">
        <v>249.9</v>
      </c>
    </row>
    <row r="269" spans="1:7" x14ac:dyDescent="0.3">
      <c r="A269" s="27" t="s">
        <v>506</v>
      </c>
      <c r="B269" s="46" t="s">
        <v>32</v>
      </c>
      <c r="C269" s="27">
        <v>37</v>
      </c>
      <c r="D269" s="49" t="s">
        <v>14</v>
      </c>
      <c r="E269" s="27">
        <v>3</v>
      </c>
      <c r="F269" s="27">
        <f>TB_Produtos[[#This Row],[Estoque]]</f>
        <v>3</v>
      </c>
      <c r="G269" s="47">
        <v>255</v>
      </c>
    </row>
    <row r="270" spans="1:7" x14ac:dyDescent="0.3">
      <c r="A270" s="27" t="s">
        <v>507</v>
      </c>
      <c r="B270" s="46" t="s">
        <v>32</v>
      </c>
      <c r="C270" s="27">
        <v>38</v>
      </c>
      <c r="D270" s="49" t="s">
        <v>14</v>
      </c>
      <c r="E270" s="27">
        <v>5</v>
      </c>
      <c r="F270" s="27">
        <f>TB_Produtos[[#This Row],[Estoque]]</f>
        <v>5</v>
      </c>
      <c r="G270" s="47">
        <v>259.89999999999998</v>
      </c>
    </row>
    <row r="271" spans="1:7" x14ac:dyDescent="0.3">
      <c r="A271" s="27" t="s">
        <v>508</v>
      </c>
      <c r="B271" s="46" t="s">
        <v>32</v>
      </c>
      <c r="C271" s="27">
        <v>36</v>
      </c>
      <c r="D271" s="49" t="s">
        <v>14</v>
      </c>
      <c r="E271" s="27">
        <v>182</v>
      </c>
      <c r="F271" s="48">
        <f>TB_Produtos[[#This Row],[Estoque]]</f>
        <v>182</v>
      </c>
      <c r="G271" s="28">
        <v>249.9</v>
      </c>
    </row>
    <row r="272" spans="1:7" x14ac:dyDescent="0.3">
      <c r="A272" s="27" t="s">
        <v>509</v>
      </c>
      <c r="B272" s="46" t="s">
        <v>32</v>
      </c>
      <c r="C272" s="27">
        <v>37</v>
      </c>
      <c r="D272" s="49" t="s">
        <v>14</v>
      </c>
      <c r="E272" s="27">
        <v>183</v>
      </c>
      <c r="F272" s="48">
        <f>TB_Produtos[[#This Row],[Estoque]]</f>
        <v>183</v>
      </c>
      <c r="G272" s="28">
        <v>255</v>
      </c>
    </row>
    <row r="273" spans="1:7" x14ac:dyDescent="0.3">
      <c r="A273" s="27" t="s">
        <v>510</v>
      </c>
      <c r="B273" s="46" t="s">
        <v>32</v>
      </c>
      <c r="C273" s="27">
        <v>38</v>
      </c>
      <c r="D273" s="49" t="s">
        <v>14</v>
      </c>
      <c r="E273" s="27">
        <v>184</v>
      </c>
      <c r="F273" s="48">
        <f>TB_Produtos[[#This Row],[Estoque]]</f>
        <v>184</v>
      </c>
      <c r="G273" s="28">
        <v>259.89999999999998</v>
      </c>
    </row>
    <row r="274" spans="1:7" x14ac:dyDescent="0.3">
      <c r="A274" s="27" t="s">
        <v>511</v>
      </c>
      <c r="B274" s="46" t="s">
        <v>257</v>
      </c>
      <c r="C274" s="27">
        <v>36</v>
      </c>
      <c r="D274" s="49" t="s">
        <v>82</v>
      </c>
      <c r="E274" s="27">
        <v>185</v>
      </c>
      <c r="F274" s="48">
        <f>TB_Produtos[[#This Row],[Estoque]]</f>
        <v>185</v>
      </c>
      <c r="G274" s="29">
        <v>149.9</v>
      </c>
    </row>
    <row r="275" spans="1:7" x14ac:dyDescent="0.3">
      <c r="A275" s="27" t="s">
        <v>512</v>
      </c>
      <c r="B275" s="46" t="s">
        <v>258</v>
      </c>
      <c r="C275" s="27">
        <v>37</v>
      </c>
      <c r="D275" s="49" t="s">
        <v>82</v>
      </c>
      <c r="E275" s="27">
        <v>186</v>
      </c>
      <c r="F275" s="48">
        <f>TB_Produtos[[#This Row],[Estoque]]</f>
        <v>186</v>
      </c>
      <c r="G275" s="29">
        <v>119.9</v>
      </c>
    </row>
    <row r="276" spans="1:7" x14ac:dyDescent="0.3">
      <c r="A276" s="27" t="s">
        <v>513</v>
      </c>
      <c r="B276" s="46" t="s">
        <v>258</v>
      </c>
      <c r="C276" s="27">
        <v>42</v>
      </c>
      <c r="D276" s="49" t="s">
        <v>82</v>
      </c>
      <c r="E276" s="27">
        <v>187</v>
      </c>
      <c r="F276" s="48">
        <f>TB_Produtos[[#This Row],[Estoque]]</f>
        <v>187</v>
      </c>
      <c r="G276" s="29">
        <v>119.9</v>
      </c>
    </row>
    <row r="277" spans="1:7" x14ac:dyDescent="0.3">
      <c r="A277" s="27" t="s">
        <v>514</v>
      </c>
      <c r="B277" s="46" t="s">
        <v>259</v>
      </c>
      <c r="C277" s="27">
        <v>40</v>
      </c>
      <c r="D277" s="49" t="s">
        <v>82</v>
      </c>
      <c r="E277" s="27">
        <v>188</v>
      </c>
      <c r="F277" s="48">
        <f>TB_Produtos[[#This Row],[Estoque]]</f>
        <v>188</v>
      </c>
      <c r="G277" s="29">
        <v>250</v>
      </c>
    </row>
    <row r="278" spans="1:7" x14ac:dyDescent="0.3">
      <c r="A278" s="27" t="s">
        <v>515</v>
      </c>
      <c r="B278" s="46" t="s">
        <v>260</v>
      </c>
      <c r="C278" s="27">
        <v>41</v>
      </c>
      <c r="D278" s="49" t="s">
        <v>82</v>
      </c>
      <c r="E278" s="27">
        <v>189</v>
      </c>
      <c r="F278" s="48">
        <f>TB_Produtos[[#This Row],[Estoque]]</f>
        <v>189</v>
      </c>
      <c r="G278" s="29">
        <v>169.9</v>
      </c>
    </row>
    <row r="279" spans="1:7" x14ac:dyDescent="0.3">
      <c r="A279" s="27" t="s">
        <v>516</v>
      </c>
      <c r="B279" s="46" t="s">
        <v>260</v>
      </c>
      <c r="C279" s="27">
        <v>42</v>
      </c>
      <c r="D279" s="49" t="s">
        <v>82</v>
      </c>
      <c r="E279" s="27">
        <v>190</v>
      </c>
      <c r="F279" s="48">
        <f>TB_Produtos[[#This Row],[Estoque]]</f>
        <v>190</v>
      </c>
      <c r="G279" s="29">
        <v>169.9</v>
      </c>
    </row>
    <row r="280" spans="1:7" x14ac:dyDescent="0.3">
      <c r="A280" s="27" t="s">
        <v>517</v>
      </c>
      <c r="B280" s="46" t="s">
        <v>31</v>
      </c>
      <c r="C280" s="27">
        <v>36</v>
      </c>
      <c r="D280" s="49" t="s">
        <v>14</v>
      </c>
      <c r="E280" s="27">
        <v>5</v>
      </c>
      <c r="F280" s="27">
        <f>TB_Produtos[[#This Row],[Estoque]]</f>
        <v>5</v>
      </c>
      <c r="G280" s="47">
        <v>199.9</v>
      </c>
    </row>
    <row r="281" spans="1:7" x14ac:dyDescent="0.3">
      <c r="A281" s="27" t="s">
        <v>518</v>
      </c>
      <c r="B281" s="46" t="s">
        <v>31</v>
      </c>
      <c r="C281" s="27">
        <v>37</v>
      </c>
      <c r="D281" s="49" t="s">
        <v>14</v>
      </c>
      <c r="E281" s="27">
        <v>5</v>
      </c>
      <c r="F281" s="27">
        <f>TB_Produtos[[#This Row],[Estoque]]</f>
        <v>5</v>
      </c>
      <c r="G281" s="47">
        <v>249.9</v>
      </c>
    </row>
    <row r="282" spans="1:7" x14ac:dyDescent="0.3">
      <c r="A282" s="27" t="s">
        <v>519</v>
      </c>
      <c r="B282" s="46" t="s">
        <v>31</v>
      </c>
      <c r="C282" s="27">
        <v>38</v>
      </c>
      <c r="D282" s="49" t="s">
        <v>14</v>
      </c>
      <c r="E282" s="27">
        <v>5</v>
      </c>
      <c r="F282" s="27">
        <f>TB_Produtos[[#This Row],[Estoque]]</f>
        <v>5</v>
      </c>
      <c r="G282" s="47">
        <v>259.89999999999998</v>
      </c>
    </row>
    <row r="283" spans="1:7" x14ac:dyDescent="0.3">
      <c r="A283" s="27" t="s">
        <v>520</v>
      </c>
      <c r="B283" s="46" t="s">
        <v>31</v>
      </c>
      <c r="C283" s="27">
        <v>36</v>
      </c>
      <c r="D283" s="49" t="s">
        <v>14</v>
      </c>
      <c r="E283" s="27">
        <v>191</v>
      </c>
      <c r="F283" s="48">
        <f>TB_Produtos[[#This Row],[Estoque]]</f>
        <v>191</v>
      </c>
      <c r="G283" s="28">
        <v>199.9</v>
      </c>
    </row>
    <row r="284" spans="1:7" x14ac:dyDescent="0.3">
      <c r="A284" s="27" t="s">
        <v>521</v>
      </c>
      <c r="B284" s="46" t="s">
        <v>31</v>
      </c>
      <c r="C284" s="27">
        <v>37</v>
      </c>
      <c r="D284" s="49" t="s">
        <v>14</v>
      </c>
      <c r="E284" s="27">
        <v>192</v>
      </c>
      <c r="F284" s="48">
        <f>TB_Produtos[[#This Row],[Estoque]]</f>
        <v>192</v>
      </c>
      <c r="G284" s="28">
        <v>249.9</v>
      </c>
    </row>
    <row r="285" spans="1:7" x14ac:dyDescent="0.3">
      <c r="A285" s="27" t="s">
        <v>522</v>
      </c>
      <c r="B285" s="46" t="s">
        <v>31</v>
      </c>
      <c r="C285" s="27">
        <v>38</v>
      </c>
      <c r="D285" s="49" t="s">
        <v>14</v>
      </c>
      <c r="E285" s="27">
        <v>193</v>
      </c>
      <c r="F285" s="48">
        <f>TB_Produtos[[#This Row],[Estoque]]</f>
        <v>193</v>
      </c>
      <c r="G285" s="28">
        <v>259.89999999999998</v>
      </c>
    </row>
    <row r="286" spans="1:7" x14ac:dyDescent="0.3">
      <c r="A286" s="27" t="s">
        <v>523</v>
      </c>
      <c r="B286" s="46" t="s">
        <v>261</v>
      </c>
      <c r="C286" s="27">
        <v>39</v>
      </c>
      <c r="D286" s="49" t="s">
        <v>82</v>
      </c>
      <c r="E286" s="27">
        <v>194</v>
      </c>
      <c r="F286" s="48">
        <f>TB_Produtos[[#This Row],[Estoque]]</f>
        <v>194</v>
      </c>
      <c r="G286" s="29">
        <v>109.9</v>
      </c>
    </row>
    <row r="287" spans="1:7" x14ac:dyDescent="0.3">
      <c r="A287" s="27" t="s">
        <v>524</v>
      </c>
      <c r="B287" s="46" t="s">
        <v>262</v>
      </c>
      <c r="C287" s="27">
        <v>37</v>
      </c>
      <c r="D287" s="49" t="s">
        <v>82</v>
      </c>
      <c r="E287" s="27">
        <v>195</v>
      </c>
      <c r="F287" s="48">
        <f>TB_Produtos[[#This Row],[Estoque]]</f>
        <v>195</v>
      </c>
      <c r="G287" s="29">
        <v>179.9</v>
      </c>
    </row>
    <row r="288" spans="1:7" x14ac:dyDescent="0.3">
      <c r="A288" s="27" t="s">
        <v>525</v>
      </c>
      <c r="B288" s="46" t="s">
        <v>262</v>
      </c>
      <c r="C288" s="27">
        <v>38</v>
      </c>
      <c r="D288" s="49" t="s">
        <v>82</v>
      </c>
      <c r="E288" s="27">
        <v>196</v>
      </c>
      <c r="F288" s="48">
        <f>TB_Produtos[[#This Row],[Estoque]]</f>
        <v>196</v>
      </c>
      <c r="G288" s="29">
        <v>179.9</v>
      </c>
    </row>
    <row r="289" spans="1:7" x14ac:dyDescent="0.3">
      <c r="A289" s="27" t="s">
        <v>526</v>
      </c>
      <c r="B289" s="46" t="s">
        <v>263</v>
      </c>
      <c r="C289" s="27" t="s">
        <v>8</v>
      </c>
      <c r="D289" s="49" t="s">
        <v>13</v>
      </c>
      <c r="E289" s="27">
        <v>197</v>
      </c>
      <c r="F289" s="48">
        <f>TB_Produtos[[#This Row],[Estoque]]</f>
        <v>197</v>
      </c>
      <c r="G289" s="29">
        <v>45</v>
      </c>
    </row>
    <row r="290" spans="1:7" x14ac:dyDescent="0.3">
      <c r="A290" s="27" t="s">
        <v>527</v>
      </c>
      <c r="B290" s="46" t="s">
        <v>264</v>
      </c>
      <c r="C290" s="27" t="s">
        <v>2</v>
      </c>
      <c r="D290" s="49" t="s">
        <v>110</v>
      </c>
      <c r="E290" s="27">
        <v>198</v>
      </c>
      <c r="F290" s="48">
        <f>TB_Produtos[[#This Row],[Estoque]]</f>
        <v>198</v>
      </c>
      <c r="G290" s="29">
        <v>59.9</v>
      </c>
    </row>
    <row r="291" spans="1:7" x14ac:dyDescent="0.3">
      <c r="A291" s="27" t="s">
        <v>528</v>
      </c>
      <c r="B291" s="46" t="s">
        <v>264</v>
      </c>
      <c r="C291" s="27" t="s">
        <v>3</v>
      </c>
      <c r="D291" s="49" t="s">
        <v>110</v>
      </c>
      <c r="E291" s="27">
        <v>199</v>
      </c>
      <c r="F291" s="48">
        <f>TB_Produtos[[#This Row],[Estoque]]</f>
        <v>199</v>
      </c>
      <c r="G291" s="29">
        <v>59.9</v>
      </c>
    </row>
    <row r="292" spans="1:7" x14ac:dyDescent="0.3">
      <c r="A292" s="27" t="s">
        <v>529</v>
      </c>
      <c r="B292" s="46" t="s">
        <v>265</v>
      </c>
      <c r="C292" s="27" t="s">
        <v>2</v>
      </c>
      <c r="D292" s="49" t="s">
        <v>110</v>
      </c>
      <c r="E292" s="27">
        <v>200</v>
      </c>
      <c r="F292" s="48">
        <f>TB_Produtos[[#This Row],[Estoque]]</f>
        <v>200</v>
      </c>
      <c r="G292" s="29">
        <v>49.9</v>
      </c>
    </row>
    <row r="293" spans="1:7" x14ac:dyDescent="0.3">
      <c r="A293" s="27" t="s">
        <v>530</v>
      </c>
      <c r="B293" s="46" t="s">
        <v>265</v>
      </c>
      <c r="C293" s="27" t="s">
        <v>3</v>
      </c>
      <c r="D293" s="49" t="s">
        <v>110</v>
      </c>
      <c r="E293" s="27">
        <v>201</v>
      </c>
      <c r="F293" s="48">
        <f>TB_Produtos[[#This Row],[Estoque]]</f>
        <v>201</v>
      </c>
      <c r="G293" s="29">
        <v>49.9</v>
      </c>
    </row>
    <row r="294" spans="1:7" x14ac:dyDescent="0.3">
      <c r="A294" s="27" t="s">
        <v>531</v>
      </c>
      <c r="B294" s="46" t="s">
        <v>265</v>
      </c>
      <c r="C294" s="27" t="s">
        <v>4</v>
      </c>
      <c r="D294" s="49" t="s">
        <v>110</v>
      </c>
      <c r="E294" s="27">
        <v>202</v>
      </c>
      <c r="F294" s="48">
        <f>TB_Produtos[[#This Row],[Estoque]]</f>
        <v>202</v>
      </c>
      <c r="G294" s="29">
        <v>49.9</v>
      </c>
    </row>
    <row r="295" spans="1:7" x14ac:dyDescent="0.3">
      <c r="A295" s="27" t="s">
        <v>532</v>
      </c>
      <c r="B295" s="46" t="s">
        <v>266</v>
      </c>
      <c r="C295" s="27" t="s">
        <v>3</v>
      </c>
      <c r="D295" s="49" t="s">
        <v>110</v>
      </c>
      <c r="E295" s="27">
        <v>203</v>
      </c>
      <c r="F295" s="48">
        <f>TB_Produtos[[#This Row],[Estoque]]</f>
        <v>203</v>
      </c>
      <c r="G295" s="29">
        <v>59.9</v>
      </c>
    </row>
    <row r="296" spans="1:7" x14ac:dyDescent="0.3">
      <c r="A296" s="27" t="s">
        <v>533</v>
      </c>
      <c r="B296" s="46" t="s">
        <v>266</v>
      </c>
      <c r="C296" s="27" t="s">
        <v>4</v>
      </c>
      <c r="D296" s="49" t="s">
        <v>110</v>
      </c>
      <c r="E296" s="27">
        <v>204</v>
      </c>
      <c r="F296" s="48">
        <f>TB_Produtos[[#This Row],[Estoque]]</f>
        <v>204</v>
      </c>
      <c r="G296" s="29">
        <v>59.9</v>
      </c>
    </row>
    <row r="297" spans="1:7" x14ac:dyDescent="0.3">
      <c r="A297" s="27" t="s">
        <v>534</v>
      </c>
      <c r="B297" s="46" t="s">
        <v>267</v>
      </c>
      <c r="C297" s="27" t="s">
        <v>2</v>
      </c>
      <c r="D297" s="49" t="s">
        <v>199</v>
      </c>
      <c r="E297" s="27">
        <v>205</v>
      </c>
      <c r="F297" s="48">
        <f>TB_Produtos[[#This Row],[Estoque]]</f>
        <v>205</v>
      </c>
      <c r="G297" s="29">
        <v>89.9</v>
      </c>
    </row>
    <row r="298" spans="1:7" x14ac:dyDescent="0.3">
      <c r="A298" s="27" t="s">
        <v>535</v>
      </c>
      <c r="B298" s="46" t="s">
        <v>267</v>
      </c>
      <c r="C298" s="27" t="s">
        <v>3</v>
      </c>
      <c r="D298" s="49" t="s">
        <v>199</v>
      </c>
      <c r="E298" s="27">
        <v>206</v>
      </c>
      <c r="F298" s="48">
        <f>TB_Produtos[[#This Row],[Estoque]]</f>
        <v>206</v>
      </c>
      <c r="G298" s="29">
        <v>89.9</v>
      </c>
    </row>
    <row r="299" spans="1:7" x14ac:dyDescent="0.3">
      <c r="A299" s="27" t="s">
        <v>536</v>
      </c>
      <c r="B299" s="46" t="s">
        <v>268</v>
      </c>
      <c r="C299" s="27" t="s">
        <v>4</v>
      </c>
      <c r="D299" s="49" t="s">
        <v>199</v>
      </c>
      <c r="E299" s="27">
        <v>207</v>
      </c>
      <c r="F299" s="48">
        <f>TB_Produtos[[#This Row],[Estoque]]</f>
        <v>207</v>
      </c>
      <c r="G299" s="29">
        <v>179.9</v>
      </c>
    </row>
    <row r="300" spans="1:7" x14ac:dyDescent="0.3">
      <c r="A300" s="27" t="s">
        <v>537</v>
      </c>
      <c r="B300" s="46" t="s">
        <v>29</v>
      </c>
      <c r="C300" s="27" t="s">
        <v>2</v>
      </c>
      <c r="D300" s="49" t="s">
        <v>12</v>
      </c>
      <c r="E300" s="27">
        <v>3</v>
      </c>
      <c r="F300" s="27">
        <f>TB_Produtos[[#This Row],[Estoque]]</f>
        <v>3</v>
      </c>
      <c r="G300" s="47">
        <v>89.9</v>
      </c>
    </row>
    <row r="301" spans="1:7" x14ac:dyDescent="0.3">
      <c r="A301" s="27" t="s">
        <v>538</v>
      </c>
      <c r="B301" s="46" t="s">
        <v>29</v>
      </c>
      <c r="C301" s="27" t="s">
        <v>3</v>
      </c>
      <c r="D301" s="49" t="s">
        <v>12</v>
      </c>
      <c r="E301" s="27">
        <v>3</v>
      </c>
      <c r="F301" s="27">
        <f>TB_Produtos[[#This Row],[Estoque]]</f>
        <v>3</v>
      </c>
      <c r="G301" s="47">
        <v>91.4</v>
      </c>
    </row>
    <row r="302" spans="1:7" x14ac:dyDescent="0.3">
      <c r="A302" s="27" t="s">
        <v>539</v>
      </c>
      <c r="B302" s="46" t="s">
        <v>29</v>
      </c>
      <c r="C302" s="27" t="s">
        <v>4</v>
      </c>
      <c r="D302" s="49" t="s">
        <v>12</v>
      </c>
      <c r="E302" s="27">
        <v>3</v>
      </c>
      <c r="F302" s="27">
        <f>TB_Produtos[[#This Row],[Estoque]]</f>
        <v>3</v>
      </c>
      <c r="G302" s="47">
        <v>93.5</v>
      </c>
    </row>
    <row r="303" spans="1:7" x14ac:dyDescent="0.3">
      <c r="A303" s="27" t="s">
        <v>540</v>
      </c>
      <c r="B303" s="46" t="s">
        <v>29</v>
      </c>
      <c r="C303" s="27" t="s">
        <v>2</v>
      </c>
      <c r="D303" s="49" t="s">
        <v>12</v>
      </c>
      <c r="E303" s="27">
        <v>208</v>
      </c>
      <c r="F303" s="48">
        <f>TB_Produtos[[#This Row],[Estoque]]</f>
        <v>208</v>
      </c>
      <c r="G303" s="28">
        <v>89.9</v>
      </c>
    </row>
    <row r="304" spans="1:7" x14ac:dyDescent="0.3">
      <c r="A304" s="27" t="s">
        <v>541</v>
      </c>
      <c r="B304" s="46" t="s">
        <v>29</v>
      </c>
      <c r="C304" s="27" t="s">
        <v>3</v>
      </c>
      <c r="D304" s="49" t="s">
        <v>12</v>
      </c>
      <c r="E304" s="27">
        <v>209</v>
      </c>
      <c r="F304" s="48">
        <f>TB_Produtos[[#This Row],[Estoque]]</f>
        <v>209</v>
      </c>
      <c r="G304" s="28">
        <v>91.4</v>
      </c>
    </row>
    <row r="305" spans="1:7" x14ac:dyDescent="0.3">
      <c r="A305" s="27" t="s">
        <v>542</v>
      </c>
      <c r="B305" s="46" t="s">
        <v>29</v>
      </c>
      <c r="C305" s="27" t="s">
        <v>4</v>
      </c>
      <c r="D305" s="49" t="s">
        <v>12</v>
      </c>
      <c r="E305" s="27">
        <v>210</v>
      </c>
      <c r="F305" s="48">
        <f>TB_Produtos[[#This Row],[Estoque]]</f>
        <v>210</v>
      </c>
      <c r="G305" s="28">
        <v>93.5</v>
      </c>
    </row>
    <row r="306" spans="1:7" x14ac:dyDescent="0.3">
      <c r="A306" s="27" t="s">
        <v>543</v>
      </c>
      <c r="B306" s="46" t="s">
        <v>269</v>
      </c>
      <c r="C306" s="27" t="s">
        <v>3</v>
      </c>
      <c r="D306" s="49" t="s">
        <v>199</v>
      </c>
      <c r="E306" s="27">
        <v>211</v>
      </c>
      <c r="F306" s="48">
        <f>TB_Produtos[[#This Row],[Estoque]]</f>
        <v>211</v>
      </c>
      <c r="G306" s="29">
        <v>155</v>
      </c>
    </row>
    <row r="307" spans="1:7" x14ac:dyDescent="0.3">
      <c r="A307" s="27" t="s">
        <v>544</v>
      </c>
      <c r="B307" s="46" t="s">
        <v>270</v>
      </c>
      <c r="C307" s="27" t="s">
        <v>3</v>
      </c>
      <c r="D307" s="49" t="s">
        <v>199</v>
      </c>
      <c r="E307" s="27">
        <v>212</v>
      </c>
      <c r="F307" s="48">
        <f>TB_Produtos[[#This Row],[Estoque]]</f>
        <v>212</v>
      </c>
      <c r="G307" s="29">
        <v>149.9</v>
      </c>
    </row>
    <row r="308" spans="1:7" x14ac:dyDescent="0.3">
      <c r="A308" s="27" t="s">
        <v>545</v>
      </c>
      <c r="B308" s="46" t="s">
        <v>271</v>
      </c>
      <c r="C308" s="27" t="s">
        <v>2</v>
      </c>
      <c r="D308" s="49" t="s">
        <v>199</v>
      </c>
      <c r="E308" s="27">
        <v>213</v>
      </c>
      <c r="F308" s="48">
        <f>TB_Produtos[[#This Row],[Estoque]]</f>
        <v>213</v>
      </c>
      <c r="G308" s="29">
        <v>199.9</v>
      </c>
    </row>
    <row r="309" spans="1:7" x14ac:dyDescent="0.3">
      <c r="A309" s="27" t="s">
        <v>546</v>
      </c>
      <c r="B309" s="46" t="s">
        <v>28</v>
      </c>
      <c r="C309" s="27" t="s">
        <v>2</v>
      </c>
      <c r="D309" s="49" t="s">
        <v>12</v>
      </c>
      <c r="E309" s="27">
        <v>2</v>
      </c>
      <c r="F309" s="27">
        <f>TB_Produtos[[#This Row],[Estoque]]</f>
        <v>2</v>
      </c>
      <c r="G309" s="47">
        <v>140</v>
      </c>
    </row>
    <row r="310" spans="1:7" x14ac:dyDescent="0.3">
      <c r="A310" s="27" t="s">
        <v>547</v>
      </c>
      <c r="B310" s="46" t="s">
        <v>28</v>
      </c>
      <c r="C310" s="27" t="s">
        <v>3</v>
      </c>
      <c r="D310" s="49" t="s">
        <v>12</v>
      </c>
      <c r="E310" s="27">
        <v>2</v>
      </c>
      <c r="F310" s="27">
        <f>TB_Produtos[[#This Row],[Estoque]]</f>
        <v>2</v>
      </c>
      <c r="G310" s="47">
        <v>142.9</v>
      </c>
    </row>
    <row r="311" spans="1:7" x14ac:dyDescent="0.3">
      <c r="A311" s="27" t="s">
        <v>548</v>
      </c>
      <c r="B311" s="46" t="s">
        <v>28</v>
      </c>
      <c r="C311" s="27" t="s">
        <v>4</v>
      </c>
      <c r="D311" s="49" t="s">
        <v>12</v>
      </c>
      <c r="E311" s="27">
        <v>2</v>
      </c>
      <c r="F311" s="27">
        <f>TB_Produtos[[#This Row],[Estoque]]</f>
        <v>2</v>
      </c>
      <c r="G311" s="47">
        <v>146</v>
      </c>
    </row>
    <row r="312" spans="1:7" x14ac:dyDescent="0.3">
      <c r="A312" s="27" t="s">
        <v>549</v>
      </c>
      <c r="B312" s="46" t="s">
        <v>28</v>
      </c>
      <c r="C312" s="27" t="s">
        <v>2</v>
      </c>
      <c r="D312" s="49" t="s">
        <v>12</v>
      </c>
      <c r="E312" s="27">
        <v>214</v>
      </c>
      <c r="F312" s="48">
        <f>TB_Produtos[[#This Row],[Estoque]]</f>
        <v>214</v>
      </c>
      <c r="G312" s="28">
        <v>140</v>
      </c>
    </row>
    <row r="313" spans="1:7" x14ac:dyDescent="0.3">
      <c r="A313" s="27" t="s">
        <v>550</v>
      </c>
      <c r="B313" s="46" t="s">
        <v>28</v>
      </c>
      <c r="C313" s="27" t="s">
        <v>3</v>
      </c>
      <c r="D313" s="49" t="s">
        <v>12</v>
      </c>
      <c r="E313" s="27">
        <v>215</v>
      </c>
      <c r="F313" s="48">
        <f>TB_Produtos[[#This Row],[Estoque]]</f>
        <v>215</v>
      </c>
      <c r="G313" s="28">
        <v>142.9</v>
      </c>
    </row>
    <row r="314" spans="1:7" x14ac:dyDescent="0.3">
      <c r="A314" s="27" t="s">
        <v>551</v>
      </c>
      <c r="B314" s="46" t="s">
        <v>28</v>
      </c>
      <c r="C314" s="27" t="s">
        <v>4</v>
      </c>
      <c r="D314" s="49" t="s">
        <v>12</v>
      </c>
      <c r="E314" s="27">
        <v>216</v>
      </c>
      <c r="F314" s="48">
        <f>TB_Produtos[[#This Row],[Estoque]]</f>
        <v>216</v>
      </c>
      <c r="G314" s="28">
        <v>146</v>
      </c>
    </row>
    <row r="315" spans="1:7" x14ac:dyDescent="0.3">
      <c r="A315" s="27" t="s">
        <v>552</v>
      </c>
      <c r="B315" s="46" t="s">
        <v>272</v>
      </c>
      <c r="C315" s="27" t="s">
        <v>3</v>
      </c>
      <c r="D315" s="49" t="s">
        <v>199</v>
      </c>
      <c r="E315" s="27">
        <v>217</v>
      </c>
      <c r="F315" s="48">
        <f>TB_Produtos[[#This Row],[Estoque]]</f>
        <v>217</v>
      </c>
      <c r="G315" s="29">
        <v>159.9</v>
      </c>
    </row>
    <row r="316" spans="1:7" x14ac:dyDescent="0.3">
      <c r="A316" s="27" t="s">
        <v>553</v>
      </c>
      <c r="B316" s="46" t="s">
        <v>273</v>
      </c>
      <c r="C316" s="27" t="s">
        <v>3</v>
      </c>
      <c r="D316" s="49" t="s">
        <v>199</v>
      </c>
      <c r="E316" s="27">
        <v>218</v>
      </c>
      <c r="F316" s="48">
        <f>TB_Produtos[[#This Row],[Estoque]]</f>
        <v>218</v>
      </c>
      <c r="G316" s="29">
        <v>399.9</v>
      </c>
    </row>
    <row r="317" spans="1:7" x14ac:dyDescent="0.3">
      <c r="A317" s="27" t="s">
        <v>554</v>
      </c>
      <c r="B317" s="46" t="s">
        <v>274</v>
      </c>
      <c r="C317" s="27" t="s">
        <v>4</v>
      </c>
      <c r="D317" s="49" t="s">
        <v>199</v>
      </c>
      <c r="E317" s="27">
        <v>219</v>
      </c>
      <c r="F317" s="48">
        <f>TB_Produtos[[#This Row],[Estoque]]</f>
        <v>219</v>
      </c>
      <c r="G317" s="29">
        <v>189.9</v>
      </c>
    </row>
    <row r="318" spans="1:7" x14ac:dyDescent="0.3">
      <c r="A318" s="27" t="s">
        <v>555</v>
      </c>
      <c r="B318" s="46" t="s">
        <v>275</v>
      </c>
      <c r="C318" s="27" t="s">
        <v>2</v>
      </c>
      <c r="D318" s="49" t="s">
        <v>199</v>
      </c>
      <c r="E318" s="27">
        <v>220</v>
      </c>
      <c r="F318" s="48">
        <f>TB_Produtos[[#This Row],[Estoque]]</f>
        <v>220</v>
      </c>
      <c r="G318" s="29">
        <v>169.9</v>
      </c>
    </row>
    <row r="319" spans="1:7" x14ac:dyDescent="0.3">
      <c r="A319" s="27" t="s">
        <v>556</v>
      </c>
      <c r="B319" s="46" t="s">
        <v>275</v>
      </c>
      <c r="C319" s="27" t="s">
        <v>3</v>
      </c>
      <c r="D319" s="49" t="s">
        <v>199</v>
      </c>
      <c r="E319" s="27">
        <v>221</v>
      </c>
      <c r="F319" s="48">
        <f>TB_Produtos[[#This Row],[Estoque]]</f>
        <v>221</v>
      </c>
      <c r="G319" s="29">
        <v>169.9</v>
      </c>
    </row>
    <row r="320" spans="1:7" x14ac:dyDescent="0.3">
      <c r="A320" s="27" t="s">
        <v>557</v>
      </c>
      <c r="B320" s="46" t="s">
        <v>276</v>
      </c>
      <c r="C320" s="27" t="s">
        <v>3</v>
      </c>
      <c r="D320" s="49" t="s">
        <v>199</v>
      </c>
      <c r="E320" s="27">
        <v>222</v>
      </c>
      <c r="F320" s="48">
        <f>TB_Produtos[[#This Row],[Estoque]]</f>
        <v>222</v>
      </c>
      <c r="G320" s="29">
        <v>185</v>
      </c>
    </row>
    <row r="321" spans="1:7" x14ac:dyDescent="0.3">
      <c r="A321" s="27" t="s">
        <v>558</v>
      </c>
      <c r="B321" s="46" t="s">
        <v>277</v>
      </c>
      <c r="C321" s="27" t="s">
        <v>2</v>
      </c>
      <c r="D321" s="49" t="s">
        <v>199</v>
      </c>
      <c r="E321" s="27">
        <v>223</v>
      </c>
      <c r="F321" s="48">
        <f>TB_Produtos[[#This Row],[Estoque]]</f>
        <v>223</v>
      </c>
      <c r="G321" s="29">
        <v>119.9</v>
      </c>
    </row>
    <row r="322" spans="1:7" x14ac:dyDescent="0.3">
      <c r="A322" s="27" t="s">
        <v>559</v>
      </c>
      <c r="B322" s="46" t="s">
        <v>278</v>
      </c>
      <c r="C322" s="27" t="s">
        <v>2</v>
      </c>
      <c r="D322" s="49" t="s">
        <v>199</v>
      </c>
      <c r="E322" s="27">
        <v>224</v>
      </c>
      <c r="F322" s="48">
        <f>TB_Produtos[[#This Row],[Estoque]]</f>
        <v>224</v>
      </c>
      <c r="G322" s="29">
        <v>165</v>
      </c>
    </row>
    <row r="323" spans="1:7" x14ac:dyDescent="0.3">
      <c r="A323" s="27" t="s">
        <v>560</v>
      </c>
      <c r="B323" s="46" t="s">
        <v>278</v>
      </c>
      <c r="C323" s="27" t="s">
        <v>3</v>
      </c>
      <c r="D323" s="49" t="s">
        <v>199</v>
      </c>
      <c r="E323" s="27">
        <v>225</v>
      </c>
      <c r="F323" s="48">
        <f>TB_Produtos[[#This Row],[Estoque]]</f>
        <v>225</v>
      </c>
      <c r="G323" s="29">
        <v>165</v>
      </c>
    </row>
    <row r="324" spans="1:7" x14ac:dyDescent="0.3">
      <c r="A324" s="27" t="s">
        <v>561</v>
      </c>
      <c r="B324" s="46" t="s">
        <v>279</v>
      </c>
      <c r="C324" s="27" t="s">
        <v>3</v>
      </c>
      <c r="D324" s="49" t="s">
        <v>199</v>
      </c>
      <c r="E324" s="27">
        <v>226</v>
      </c>
      <c r="F324" s="48">
        <f>TB_Produtos[[#This Row],[Estoque]]</f>
        <v>226</v>
      </c>
      <c r="G324" s="29">
        <v>149.9</v>
      </c>
    </row>
  </sheetData>
  <mergeCells count="1">
    <mergeCell ref="A1:G1"/>
  </mergeCells>
  <phoneticPr fontId="11" type="noConversion"/>
  <conditionalFormatting sqref="F4:F324">
    <cfRule type="iconSet" priority="2">
      <iconSet iconSet="3Symbols" showValue="0">
        <cfvo type="percent" val="0"/>
        <cfvo type="num" val="3"/>
        <cfvo type="num" val="10" gte="0"/>
      </iconSet>
    </cfRule>
    <cfRule type="cellIs" dxfId="1" priority="3" operator="lessThan">
      <formula>3</formula>
    </cfRule>
  </conditionalFormatting>
  <conditionalFormatting sqref="G4:G324">
    <cfRule type="dataBar" priority="1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{50F1C84E-07AA-4AB2-B2C2-6DED29AB0E3A}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F1C84E-07AA-4AB2-B2C2-6DED29AB0E3A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G4:G324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I120"/>
  <sheetViews>
    <sheetView zoomScale="150" zoomScaleNormal="150" workbookViewId="0">
      <selection sqref="A1:I1"/>
    </sheetView>
  </sheetViews>
  <sheetFormatPr defaultRowHeight="14.4" x14ac:dyDescent="0.3"/>
  <cols>
    <col min="1" max="1" width="8.88671875" style="1" customWidth="1"/>
    <col min="2" max="2" width="11.5546875" style="1" bestFit="1" customWidth="1"/>
    <col min="3" max="3" width="13.5546875" style="1" bestFit="1" customWidth="1"/>
    <col min="4" max="4" width="14.6640625" style="1" customWidth="1"/>
    <col min="5" max="5" width="15.88671875" style="1" customWidth="1"/>
    <col min="6" max="6" width="8.5546875" customWidth="1"/>
    <col min="7" max="7" width="16.5546875" style="52" bestFit="1" customWidth="1"/>
    <col min="8" max="8" width="14.88671875" customWidth="1"/>
    <col min="9" max="9" width="17" bestFit="1" customWidth="1"/>
  </cols>
  <sheetData>
    <row r="1" spans="1:9" ht="25.05" customHeight="1" x14ac:dyDescent="0.3">
      <c r="A1" s="80" t="s">
        <v>15</v>
      </c>
      <c r="B1" s="80"/>
      <c r="C1" s="80"/>
      <c r="D1" s="80"/>
      <c r="E1" s="80"/>
      <c r="F1" s="80"/>
      <c r="G1" s="80"/>
      <c r="H1" s="80"/>
      <c r="I1" s="80"/>
    </row>
    <row r="2" spans="1:9" ht="18" x14ac:dyDescent="0.3">
      <c r="A2" s="31" t="s">
        <v>42</v>
      </c>
      <c r="B2" s="31" t="s">
        <v>87</v>
      </c>
      <c r="C2" s="31" t="s">
        <v>41</v>
      </c>
      <c r="D2" s="31" t="s">
        <v>1</v>
      </c>
      <c r="E2" s="31" t="s">
        <v>10</v>
      </c>
      <c r="F2" s="31" t="s">
        <v>16</v>
      </c>
      <c r="G2" s="31" t="s">
        <v>589</v>
      </c>
      <c r="H2" s="32" t="s">
        <v>17</v>
      </c>
      <c r="I2" s="31" t="s">
        <v>85</v>
      </c>
    </row>
    <row r="3" spans="1:9" x14ac:dyDescent="0.3">
      <c r="A3" s="33">
        <f>MONTH(TB_Vendas[[#This Row],[Data]])</f>
        <v>1</v>
      </c>
      <c r="B3" s="34">
        <v>44931</v>
      </c>
      <c r="C3" s="30" t="s">
        <v>69</v>
      </c>
      <c r="D3" s="30" t="str">
        <f>_xlfn.XLOOKUP(C3,TB_Produtos[Código],TB_Produtos[Tamanho])</f>
        <v>G</v>
      </c>
      <c r="E3" s="30" t="s">
        <v>13</v>
      </c>
      <c r="F3" s="30">
        <v>1</v>
      </c>
      <c r="G3" s="77">
        <f>_xlfn.XLOOKUP(TB_Vendas[[#This Row],[Código]],TB_Produtos[Código],TB_Produtos[Preço Unitário])</f>
        <v>149.9</v>
      </c>
      <c r="H3" s="35">
        <f>TB_Vendas[[#This Row],[Unt. Preço]]*TB_Vendas[[#This Row],[Qtd]]</f>
        <v>149.9</v>
      </c>
      <c r="I3" s="30" t="s">
        <v>84</v>
      </c>
    </row>
    <row r="4" spans="1:9" x14ac:dyDescent="0.3">
      <c r="A4" s="33">
        <f>MONTH(TB_Vendas[[#This Row],[Data]])</f>
        <v>1</v>
      </c>
      <c r="B4" s="34">
        <v>44932</v>
      </c>
      <c r="C4" s="30" t="s">
        <v>73</v>
      </c>
      <c r="D4" s="30" t="str">
        <f>_xlfn.XLOOKUP(C4,TB_Produtos[Código],TB_Produtos[Tamanho])</f>
        <v>M</v>
      </c>
      <c r="E4" s="30" t="s">
        <v>82</v>
      </c>
      <c r="F4" s="30">
        <v>1</v>
      </c>
      <c r="G4" s="77">
        <f>_xlfn.XLOOKUP(TB_Vendas[[#This Row],[Código]],TB_Produtos[Código],TB_Produtos[Preço Unitário])</f>
        <v>59.9</v>
      </c>
      <c r="H4" s="35">
        <f>TB_Vendas[[#This Row],[Unt. Preço]]*TB_Vendas[[#This Row],[Qtd]]</f>
        <v>59.9</v>
      </c>
      <c r="I4" s="30" t="s">
        <v>83</v>
      </c>
    </row>
    <row r="5" spans="1:9" x14ac:dyDescent="0.3">
      <c r="A5" s="33">
        <f>MONTH(TB_Vendas[[#This Row],[Data]])</f>
        <v>1</v>
      </c>
      <c r="B5" s="34">
        <v>44933</v>
      </c>
      <c r="C5" s="30" t="s">
        <v>74</v>
      </c>
      <c r="D5" s="30" t="str">
        <f>_xlfn.XLOOKUP(C5,TB_Produtos[Código],TB_Produtos[Tamanho])</f>
        <v>P</v>
      </c>
      <c r="E5" s="30" t="s">
        <v>82</v>
      </c>
      <c r="F5" s="30">
        <v>2</v>
      </c>
      <c r="G5" s="77">
        <f>_xlfn.XLOOKUP(TB_Vendas[[#This Row],[Código]],TB_Produtos[Código],TB_Produtos[Preço Unitário])</f>
        <v>69.900000000000006</v>
      </c>
      <c r="H5" s="35">
        <f>TB_Vendas[[#This Row],[Unt. Preço]]*TB_Vendas[[#This Row],[Qtd]]</f>
        <v>139.80000000000001</v>
      </c>
      <c r="I5" s="30" t="s">
        <v>86</v>
      </c>
    </row>
    <row r="6" spans="1:9" x14ac:dyDescent="0.3">
      <c r="A6" s="33">
        <f>MONTH(TB_Vendas[[#This Row],[Data]])</f>
        <v>1</v>
      </c>
      <c r="B6" s="34">
        <v>44938</v>
      </c>
      <c r="C6" s="30" t="s">
        <v>53</v>
      </c>
      <c r="D6" s="30">
        <f>_xlfn.XLOOKUP(C6,TB_Produtos[Código],TB_Produtos[Tamanho])</f>
        <v>42</v>
      </c>
      <c r="E6" s="30" t="s">
        <v>12</v>
      </c>
      <c r="F6" s="30">
        <v>1</v>
      </c>
      <c r="G6" s="77">
        <f>_xlfn.XLOOKUP(TB_Vendas[[#This Row],[Código]],TB_Produtos[Código],TB_Produtos[Preço Unitário])</f>
        <v>109.9</v>
      </c>
      <c r="H6" s="35">
        <f>TB_Vendas[[#This Row],[Unt. Preço]]*TB_Vendas[[#This Row],[Qtd]]</f>
        <v>109.9</v>
      </c>
      <c r="I6" s="30" t="s">
        <v>86</v>
      </c>
    </row>
    <row r="7" spans="1:9" x14ac:dyDescent="0.3">
      <c r="A7" s="33">
        <f>MONTH(TB_Vendas[[#This Row],[Data]])</f>
        <v>1</v>
      </c>
      <c r="B7" s="34">
        <v>44939</v>
      </c>
      <c r="C7" s="30" t="s">
        <v>80</v>
      </c>
      <c r="D7" s="30" t="str">
        <f>_xlfn.XLOOKUP(C7,TB_Produtos[Código],TB_Produtos[Tamanho])</f>
        <v>Único</v>
      </c>
      <c r="E7" s="30" t="s">
        <v>12</v>
      </c>
      <c r="F7" s="30">
        <v>1</v>
      </c>
      <c r="G7" s="77">
        <f>_xlfn.XLOOKUP(TB_Vendas[[#This Row],[Código]],TB_Produtos[Código],TB_Produtos[Preço Unitário])</f>
        <v>259.89999999999998</v>
      </c>
      <c r="H7" s="35">
        <f>TB_Vendas[[#This Row],[Unt. Preço]]*TB_Vendas[[#This Row],[Qtd]]</f>
        <v>259.89999999999998</v>
      </c>
      <c r="I7" s="30" t="s">
        <v>83</v>
      </c>
    </row>
    <row r="8" spans="1:9" x14ac:dyDescent="0.3">
      <c r="A8" s="33">
        <f>MONTH(TB_Vendas[[#This Row],[Data]])</f>
        <v>1</v>
      </c>
      <c r="B8" s="34">
        <v>44943</v>
      </c>
      <c r="C8" s="30" t="s">
        <v>73</v>
      </c>
      <c r="D8" s="30" t="str">
        <f>_xlfn.XLOOKUP(C8,TB_Produtos[Código],TB_Produtos[Tamanho])</f>
        <v>M</v>
      </c>
      <c r="E8" s="30" t="s">
        <v>82</v>
      </c>
      <c r="F8" s="30">
        <v>1</v>
      </c>
      <c r="G8" s="77">
        <f>_xlfn.XLOOKUP(TB_Vendas[[#This Row],[Código]],TB_Produtos[Código],TB_Produtos[Preço Unitário])</f>
        <v>59.9</v>
      </c>
      <c r="H8" s="35">
        <f>TB_Vendas[[#This Row],[Unt. Preço]]*TB_Vendas[[#This Row],[Qtd]]</f>
        <v>59.9</v>
      </c>
      <c r="I8" s="30" t="s">
        <v>83</v>
      </c>
    </row>
    <row r="9" spans="1:9" x14ac:dyDescent="0.3">
      <c r="A9" s="33">
        <f>MONTH(TB_Vendas[[#This Row],[Data]])</f>
        <v>1</v>
      </c>
      <c r="B9" s="34">
        <v>44949</v>
      </c>
      <c r="C9" s="30" t="s">
        <v>68</v>
      </c>
      <c r="D9" s="30" t="str">
        <f>_xlfn.XLOOKUP(C9,TB_Produtos[Código],TB_Produtos[Tamanho])</f>
        <v>M</v>
      </c>
      <c r="E9" s="30" t="s">
        <v>13</v>
      </c>
      <c r="F9" s="30">
        <v>1</v>
      </c>
      <c r="G9" s="77">
        <f>_xlfn.XLOOKUP(TB_Vendas[[#This Row],[Código]],TB_Produtos[Código],TB_Produtos[Preço Unitário])</f>
        <v>149.9</v>
      </c>
      <c r="H9" s="35">
        <f>TB_Vendas[[#This Row],[Unt. Preço]]*TB_Vendas[[#This Row],[Qtd]]</f>
        <v>149.9</v>
      </c>
      <c r="I9" s="30" t="s">
        <v>84</v>
      </c>
    </row>
    <row r="10" spans="1:9" x14ac:dyDescent="0.3">
      <c r="A10" s="33">
        <f>MONTH(TB_Vendas[[#This Row],[Data]])</f>
        <v>1</v>
      </c>
      <c r="B10" s="34">
        <v>44952</v>
      </c>
      <c r="C10" s="30" t="s">
        <v>56</v>
      </c>
      <c r="D10" s="30" t="str">
        <f>_xlfn.XLOOKUP(C10,TB_Produtos[Código],TB_Produtos[Tamanho])</f>
        <v>P</v>
      </c>
      <c r="E10" s="30" t="s">
        <v>12</v>
      </c>
      <c r="F10" s="30">
        <v>2</v>
      </c>
      <c r="G10" s="77">
        <f>_xlfn.XLOOKUP(TB_Vendas[[#This Row],[Código]],TB_Produtos[Código],TB_Produtos[Preço Unitário])</f>
        <v>219.9</v>
      </c>
      <c r="H10" s="35">
        <f>TB_Vendas[[#This Row],[Unt. Preço]]*TB_Vendas[[#This Row],[Qtd]]</f>
        <v>439.8</v>
      </c>
      <c r="I10" s="30" t="s">
        <v>83</v>
      </c>
    </row>
    <row r="11" spans="1:9" x14ac:dyDescent="0.3">
      <c r="A11" s="33">
        <f>MONTH(TB_Vendas[[#This Row],[Data]])</f>
        <v>1</v>
      </c>
      <c r="B11" s="34">
        <v>44954</v>
      </c>
      <c r="C11" s="30" t="s">
        <v>57</v>
      </c>
      <c r="D11" s="30" t="str">
        <f>_xlfn.XLOOKUP(C11,TB_Produtos[Código],TB_Produtos[Tamanho])</f>
        <v>P</v>
      </c>
      <c r="E11" s="30" t="s">
        <v>12</v>
      </c>
      <c r="F11" s="30">
        <v>2</v>
      </c>
      <c r="G11" s="77">
        <f>_xlfn.XLOOKUP(TB_Vendas[[#This Row],[Código]],TB_Produtos[Código],TB_Produtos[Preço Unitário])</f>
        <v>249.9</v>
      </c>
      <c r="H11" s="35">
        <f>TB_Vendas[[#This Row],[Unt. Preço]]*TB_Vendas[[#This Row],[Qtd]]</f>
        <v>499.8</v>
      </c>
      <c r="I11" s="30" t="s">
        <v>83</v>
      </c>
    </row>
    <row r="12" spans="1:9" x14ac:dyDescent="0.3">
      <c r="A12" s="33">
        <f>MONTH(TB_Vendas[[#This Row],[Data]])</f>
        <v>1</v>
      </c>
      <c r="B12" s="34">
        <v>44955</v>
      </c>
      <c r="C12" s="30" t="s">
        <v>77</v>
      </c>
      <c r="D12" s="30" t="str">
        <f>_xlfn.XLOOKUP(C12,TB_Produtos[Código],TB_Produtos[Tamanho])</f>
        <v>Único</v>
      </c>
      <c r="E12" s="30" t="s">
        <v>12</v>
      </c>
      <c r="F12" s="30">
        <v>1</v>
      </c>
      <c r="G12" s="77">
        <f>_xlfn.XLOOKUP(TB_Vendas[[#This Row],[Código]],TB_Produtos[Código],TB_Produtos[Preço Unitário])</f>
        <v>149.9</v>
      </c>
      <c r="H12" s="35">
        <f>TB_Vendas[[#This Row],[Unt. Preço]]*TB_Vendas[[#This Row],[Qtd]]</f>
        <v>149.9</v>
      </c>
      <c r="I12" s="30" t="s">
        <v>86</v>
      </c>
    </row>
    <row r="13" spans="1:9" x14ac:dyDescent="0.3">
      <c r="A13" s="33">
        <f>MONTH(TB_Vendas[[#This Row],[Data]])</f>
        <v>1</v>
      </c>
      <c r="B13" s="34">
        <v>44956</v>
      </c>
      <c r="C13" s="30" t="s">
        <v>81</v>
      </c>
      <c r="D13" s="30" t="str">
        <f>_xlfn.XLOOKUP(C13,TB_Produtos[Código],TB_Produtos[Tamanho])</f>
        <v>Único</v>
      </c>
      <c r="E13" s="30" t="s">
        <v>12</v>
      </c>
      <c r="F13" s="30">
        <v>1</v>
      </c>
      <c r="G13" s="77">
        <f>_xlfn.XLOOKUP(TB_Vendas[[#This Row],[Código]],TB_Produtos[Código],TB_Produtos[Preço Unitário])</f>
        <v>259.89999999999998</v>
      </c>
      <c r="H13" s="35">
        <f>TB_Vendas[[#This Row],[Unt. Preço]]*TB_Vendas[[#This Row],[Qtd]]</f>
        <v>259.89999999999998</v>
      </c>
      <c r="I13" s="30" t="s">
        <v>84</v>
      </c>
    </row>
    <row r="14" spans="1:9" x14ac:dyDescent="0.3">
      <c r="A14" s="33">
        <f>MONTH(TB_Vendas[[#This Row],[Data]])</f>
        <v>2</v>
      </c>
      <c r="B14" s="34">
        <v>44960</v>
      </c>
      <c r="C14" s="30" t="s">
        <v>47</v>
      </c>
      <c r="D14" s="30" t="str">
        <f>_xlfn.XLOOKUP(C14,TB_Produtos[Código],TB_Produtos[Tamanho])</f>
        <v>M</v>
      </c>
      <c r="E14" s="30" t="s">
        <v>13</v>
      </c>
      <c r="F14" s="30">
        <v>1</v>
      </c>
      <c r="G14" s="77">
        <f>_xlfn.XLOOKUP(TB_Vendas[[#This Row],[Código]],TB_Produtos[Código],TB_Produtos[Preço Unitário])</f>
        <v>69.900000000000006</v>
      </c>
      <c r="H14" s="35">
        <f>TB_Vendas[[#This Row],[Unt. Preço]]*TB_Vendas[[#This Row],[Qtd]]</f>
        <v>69.900000000000006</v>
      </c>
      <c r="I14" s="30" t="s">
        <v>86</v>
      </c>
    </row>
    <row r="15" spans="1:9" x14ac:dyDescent="0.3">
      <c r="A15" s="33">
        <f>MONTH(TB_Vendas[[#This Row],[Data]])</f>
        <v>2</v>
      </c>
      <c r="B15" s="34">
        <v>44962</v>
      </c>
      <c r="C15" s="30" t="s">
        <v>62</v>
      </c>
      <c r="D15" s="30" t="str">
        <f>_xlfn.XLOOKUP(C15,TB_Produtos[Código],TB_Produtos[Tamanho])</f>
        <v>P</v>
      </c>
      <c r="E15" s="30" t="s">
        <v>12</v>
      </c>
      <c r="F15" s="30">
        <v>2</v>
      </c>
      <c r="G15" s="77">
        <f>_xlfn.XLOOKUP(TB_Vendas[[#This Row],[Código]],TB_Produtos[Código],TB_Produtos[Preço Unitário])</f>
        <v>95</v>
      </c>
      <c r="H15" s="35">
        <f>TB_Vendas[[#This Row],[Unt. Preço]]*TB_Vendas[[#This Row],[Qtd]]</f>
        <v>190</v>
      </c>
      <c r="I15" s="30" t="s">
        <v>84</v>
      </c>
    </row>
    <row r="16" spans="1:9" x14ac:dyDescent="0.3">
      <c r="A16" s="33">
        <f>MONTH(TB_Vendas[[#This Row],[Data]])</f>
        <v>2</v>
      </c>
      <c r="B16" s="34">
        <v>44975</v>
      </c>
      <c r="C16" s="30" t="s">
        <v>74</v>
      </c>
      <c r="D16" s="30" t="str">
        <f>_xlfn.XLOOKUP(C16,TB_Produtos[Código],TB_Produtos[Tamanho])</f>
        <v>P</v>
      </c>
      <c r="E16" s="30" t="s">
        <v>82</v>
      </c>
      <c r="F16" s="30">
        <v>1</v>
      </c>
      <c r="G16" s="77">
        <f>_xlfn.XLOOKUP(TB_Vendas[[#This Row],[Código]],TB_Produtos[Código],TB_Produtos[Preço Unitário])</f>
        <v>69.900000000000006</v>
      </c>
      <c r="H16" s="35">
        <f>TB_Vendas[[#This Row],[Unt. Preço]]*TB_Vendas[[#This Row],[Qtd]]</f>
        <v>69.900000000000006</v>
      </c>
      <c r="I16" s="30" t="s">
        <v>83</v>
      </c>
    </row>
    <row r="17" spans="1:9" x14ac:dyDescent="0.3">
      <c r="A17" s="33">
        <f>MONTH(TB_Vendas[[#This Row],[Data]])</f>
        <v>2</v>
      </c>
      <c r="B17" s="34">
        <v>44978</v>
      </c>
      <c r="C17" s="30" t="s">
        <v>78</v>
      </c>
      <c r="D17" s="30" t="str">
        <f>_xlfn.XLOOKUP(C17,TB_Produtos[Código],TB_Produtos[Tamanho])</f>
        <v>Único</v>
      </c>
      <c r="E17" s="30" t="s">
        <v>12</v>
      </c>
      <c r="F17" s="30">
        <v>2</v>
      </c>
      <c r="G17" s="77">
        <f>_xlfn.XLOOKUP(TB_Vendas[[#This Row],[Código]],TB_Produtos[Código],TB_Produtos[Preço Unitário])</f>
        <v>145</v>
      </c>
      <c r="H17" s="35">
        <f>TB_Vendas[[#This Row],[Unt. Preço]]*TB_Vendas[[#This Row],[Qtd]]</f>
        <v>290</v>
      </c>
      <c r="I17" s="30" t="s">
        <v>86</v>
      </c>
    </row>
    <row r="18" spans="1:9" x14ac:dyDescent="0.3">
      <c r="A18" s="33">
        <f>MONTH(TB_Vendas[[#This Row],[Data]])</f>
        <v>2</v>
      </c>
      <c r="B18" s="34">
        <v>44981</v>
      </c>
      <c r="C18" s="30" t="s">
        <v>72</v>
      </c>
      <c r="D18" s="30" t="str">
        <f>_xlfn.XLOOKUP(C18,TB_Produtos[Código],TB_Produtos[Tamanho])</f>
        <v>G</v>
      </c>
      <c r="E18" s="30" t="s">
        <v>82</v>
      </c>
      <c r="F18" s="30">
        <v>4</v>
      </c>
      <c r="G18" s="77">
        <f>_xlfn.XLOOKUP(TB_Vendas[[#This Row],[Código]],TB_Produtos[Código],TB_Produtos[Preço Unitário])</f>
        <v>89.9</v>
      </c>
      <c r="H18" s="35">
        <f>TB_Vendas[[#This Row],[Unt. Preço]]*TB_Vendas[[#This Row],[Qtd]]</f>
        <v>359.6</v>
      </c>
      <c r="I18" s="30" t="s">
        <v>84</v>
      </c>
    </row>
    <row r="19" spans="1:9" x14ac:dyDescent="0.3">
      <c r="A19" s="33">
        <f>MONTH(TB_Vendas[[#This Row],[Data]])</f>
        <v>2</v>
      </c>
      <c r="B19" s="34">
        <v>44982</v>
      </c>
      <c r="C19" s="30" t="s">
        <v>55</v>
      </c>
      <c r="D19" s="30" t="str">
        <f>_xlfn.XLOOKUP(C19,TB_Produtos[Código],TB_Produtos[Tamanho])</f>
        <v>G</v>
      </c>
      <c r="E19" s="30" t="s">
        <v>12</v>
      </c>
      <c r="F19" s="30">
        <v>3</v>
      </c>
      <c r="G19" s="77">
        <f>_xlfn.XLOOKUP(TB_Vendas[[#This Row],[Código]],TB_Produtos[Código],TB_Produtos[Preço Unitário])</f>
        <v>219.9</v>
      </c>
      <c r="H19" s="35">
        <f>TB_Vendas[[#This Row],[Unt. Preço]]*TB_Vendas[[#This Row],[Qtd]]</f>
        <v>659.7</v>
      </c>
      <c r="I19" s="30" t="s">
        <v>84</v>
      </c>
    </row>
    <row r="20" spans="1:9" x14ac:dyDescent="0.3">
      <c r="A20" s="33">
        <f>MONTH(TB_Vendas[[#This Row],[Data]])</f>
        <v>2</v>
      </c>
      <c r="B20" s="34">
        <v>44983</v>
      </c>
      <c r="C20" s="30" t="s">
        <v>44</v>
      </c>
      <c r="D20" s="30" t="str">
        <f>_xlfn.XLOOKUP(C20,TB_Produtos[Código],TB_Produtos[Tamanho])</f>
        <v>M</v>
      </c>
      <c r="E20" s="30" t="s">
        <v>12</v>
      </c>
      <c r="F20" s="30">
        <v>2</v>
      </c>
      <c r="G20" s="77">
        <f>_xlfn.XLOOKUP(TB_Vendas[[#This Row],[Código]],TB_Produtos[Código],TB_Produtos[Preço Unitário])</f>
        <v>69.900000000000006</v>
      </c>
      <c r="H20" s="35">
        <f>TB_Vendas[[#This Row],[Unt. Preço]]*TB_Vendas[[#This Row],[Qtd]]</f>
        <v>139.80000000000001</v>
      </c>
      <c r="I20" s="30" t="s">
        <v>83</v>
      </c>
    </row>
    <row r="21" spans="1:9" x14ac:dyDescent="0.3">
      <c r="A21" s="33">
        <f>MONTH(TB_Vendas[[#This Row],[Data]])</f>
        <v>3</v>
      </c>
      <c r="B21" s="34">
        <v>44986</v>
      </c>
      <c r="C21" s="30" t="s">
        <v>59</v>
      </c>
      <c r="D21" s="30" t="str">
        <f>_xlfn.XLOOKUP(C21,TB_Produtos[Código],TB_Produtos[Tamanho])</f>
        <v>P</v>
      </c>
      <c r="E21" s="30" t="s">
        <v>12</v>
      </c>
      <c r="F21" s="30">
        <v>3</v>
      </c>
      <c r="G21" s="77">
        <f>_xlfn.XLOOKUP(TB_Vendas[[#This Row],[Código]],TB_Produtos[Código],TB_Produtos[Preço Unitário])</f>
        <v>99.9</v>
      </c>
      <c r="H21" s="35">
        <f>TB_Vendas[[#This Row],[Unt. Preço]]*TB_Vendas[[#This Row],[Qtd]]</f>
        <v>299.70000000000005</v>
      </c>
      <c r="I21" s="30" t="s">
        <v>86</v>
      </c>
    </row>
    <row r="22" spans="1:9" x14ac:dyDescent="0.3">
      <c r="A22" s="33">
        <f>MONTH(TB_Vendas[[#This Row],[Data]])</f>
        <v>3</v>
      </c>
      <c r="B22" s="34">
        <v>44986</v>
      </c>
      <c r="C22" s="30" t="s">
        <v>74</v>
      </c>
      <c r="D22" s="30" t="str">
        <f>_xlfn.XLOOKUP(C22,TB_Produtos[Código],TB_Produtos[Tamanho])</f>
        <v>P</v>
      </c>
      <c r="E22" s="30" t="s">
        <v>82</v>
      </c>
      <c r="F22" s="30">
        <v>1</v>
      </c>
      <c r="G22" s="77">
        <f>_xlfn.XLOOKUP(TB_Vendas[[#This Row],[Código]],TB_Produtos[Código],TB_Produtos[Preço Unitário])</f>
        <v>69.900000000000006</v>
      </c>
      <c r="H22" s="35">
        <f>TB_Vendas[[#This Row],[Unt. Preço]]*TB_Vendas[[#This Row],[Qtd]]</f>
        <v>69.900000000000006</v>
      </c>
      <c r="I22" s="30" t="s">
        <v>83</v>
      </c>
    </row>
    <row r="23" spans="1:9" x14ac:dyDescent="0.3">
      <c r="A23" s="33">
        <f>MONTH(TB_Vendas[[#This Row],[Data]])</f>
        <v>3</v>
      </c>
      <c r="B23" s="34">
        <v>44987</v>
      </c>
      <c r="C23" s="30" t="s">
        <v>47</v>
      </c>
      <c r="D23" s="30" t="str">
        <f>_xlfn.XLOOKUP(C23,TB_Produtos[Código],TB_Produtos[Tamanho])</f>
        <v>M</v>
      </c>
      <c r="E23" s="30" t="s">
        <v>13</v>
      </c>
      <c r="F23" s="30">
        <v>4</v>
      </c>
      <c r="G23" s="77">
        <f>_xlfn.XLOOKUP(TB_Vendas[[#This Row],[Código]],TB_Produtos[Código],TB_Produtos[Preço Unitário])</f>
        <v>69.900000000000006</v>
      </c>
      <c r="H23" s="35">
        <f>TB_Vendas[[#This Row],[Unt. Preço]]*TB_Vendas[[#This Row],[Qtd]]</f>
        <v>279.60000000000002</v>
      </c>
      <c r="I23" s="30" t="s">
        <v>83</v>
      </c>
    </row>
    <row r="24" spans="1:9" x14ac:dyDescent="0.3">
      <c r="A24" s="33">
        <f>MONTH(TB_Vendas[[#This Row],[Data]])</f>
        <v>3</v>
      </c>
      <c r="B24" s="34">
        <v>44988</v>
      </c>
      <c r="C24" s="30" t="s">
        <v>54</v>
      </c>
      <c r="D24" s="30" t="str">
        <f>_xlfn.XLOOKUP(C24,TB_Produtos[Código],TB_Produtos[Tamanho])</f>
        <v>M</v>
      </c>
      <c r="E24" s="30" t="s">
        <v>12</v>
      </c>
      <c r="F24" s="30">
        <v>2</v>
      </c>
      <c r="G24" s="77">
        <f>_xlfn.XLOOKUP(TB_Vendas[[#This Row],[Código]],TB_Produtos[Código],TB_Produtos[Preço Unitário])</f>
        <v>219.9</v>
      </c>
      <c r="H24" s="35">
        <f>TB_Vendas[[#This Row],[Unt. Preço]]*TB_Vendas[[#This Row],[Qtd]]</f>
        <v>439.8</v>
      </c>
      <c r="I24" s="30" t="s">
        <v>86</v>
      </c>
    </row>
    <row r="25" spans="1:9" x14ac:dyDescent="0.3">
      <c r="A25" s="33">
        <f>MONTH(TB_Vendas[[#This Row],[Data]])</f>
        <v>3</v>
      </c>
      <c r="B25" s="34">
        <v>44989</v>
      </c>
      <c r="C25" s="30" t="s">
        <v>56</v>
      </c>
      <c r="D25" s="30" t="str">
        <f>_xlfn.XLOOKUP(C25,TB_Produtos[Código],TB_Produtos[Tamanho])</f>
        <v>P</v>
      </c>
      <c r="E25" s="30" t="s">
        <v>12</v>
      </c>
      <c r="F25" s="30">
        <v>3</v>
      </c>
      <c r="G25" s="77">
        <f>_xlfn.XLOOKUP(TB_Vendas[[#This Row],[Código]],TB_Produtos[Código],TB_Produtos[Preço Unitário])</f>
        <v>219.9</v>
      </c>
      <c r="H25" s="35">
        <f>TB_Vendas[[#This Row],[Unt. Preço]]*TB_Vendas[[#This Row],[Qtd]]</f>
        <v>659.7</v>
      </c>
      <c r="I25" s="30" t="s">
        <v>83</v>
      </c>
    </row>
    <row r="26" spans="1:9" x14ac:dyDescent="0.3">
      <c r="A26" s="33">
        <f>MONTH(TB_Vendas[[#This Row],[Data]])</f>
        <v>3</v>
      </c>
      <c r="B26" s="34">
        <v>44994</v>
      </c>
      <c r="C26" s="30" t="s">
        <v>66</v>
      </c>
      <c r="D26" s="30" t="str">
        <f>_xlfn.XLOOKUP(C26,TB_Produtos[Código],TB_Produtos[Tamanho])</f>
        <v>M</v>
      </c>
      <c r="E26" s="30" t="s">
        <v>12</v>
      </c>
      <c r="F26" s="30">
        <v>2</v>
      </c>
      <c r="G26" s="77">
        <f>_xlfn.XLOOKUP(TB_Vendas[[#This Row],[Código]],TB_Produtos[Código],TB_Produtos[Preço Unitário])</f>
        <v>129.9</v>
      </c>
      <c r="H26" s="35">
        <f>TB_Vendas[[#This Row],[Unt. Preço]]*TB_Vendas[[#This Row],[Qtd]]</f>
        <v>259.8</v>
      </c>
      <c r="I26" s="30" t="s">
        <v>86</v>
      </c>
    </row>
    <row r="27" spans="1:9" x14ac:dyDescent="0.3">
      <c r="A27" s="33">
        <f>MONTH(TB_Vendas[[#This Row],[Data]])</f>
        <v>3</v>
      </c>
      <c r="B27" s="34">
        <v>44999</v>
      </c>
      <c r="C27" s="30" t="s">
        <v>74</v>
      </c>
      <c r="D27" s="30" t="str">
        <f>_xlfn.XLOOKUP(C27,TB_Produtos[Código],TB_Produtos[Tamanho])</f>
        <v>P</v>
      </c>
      <c r="E27" s="30" t="s">
        <v>82</v>
      </c>
      <c r="F27" s="30">
        <v>1</v>
      </c>
      <c r="G27" s="77">
        <f>_xlfn.XLOOKUP(TB_Vendas[[#This Row],[Código]],TB_Produtos[Código],TB_Produtos[Preço Unitário])</f>
        <v>69.900000000000006</v>
      </c>
      <c r="H27" s="35">
        <f>TB_Vendas[[#This Row],[Unt. Preço]]*TB_Vendas[[#This Row],[Qtd]]</f>
        <v>69.900000000000006</v>
      </c>
      <c r="I27" s="30" t="s">
        <v>86</v>
      </c>
    </row>
    <row r="28" spans="1:9" x14ac:dyDescent="0.3">
      <c r="A28" s="33">
        <f>MONTH(TB_Vendas[[#This Row],[Data]])</f>
        <v>3</v>
      </c>
      <c r="B28" s="34">
        <v>45004</v>
      </c>
      <c r="C28" s="30" t="s">
        <v>45</v>
      </c>
      <c r="D28" s="30" t="str">
        <f>_xlfn.XLOOKUP(C28,TB_Produtos[Código],TB_Produtos[Tamanho])</f>
        <v>G</v>
      </c>
      <c r="E28" s="30" t="s">
        <v>12</v>
      </c>
      <c r="F28" s="30">
        <v>5</v>
      </c>
      <c r="G28" s="77">
        <f>_xlfn.XLOOKUP(TB_Vendas[[#This Row],[Código]],TB_Produtos[Código],TB_Produtos[Preço Unitário])</f>
        <v>70.900000000000006</v>
      </c>
      <c r="H28" s="35">
        <f>TB_Vendas[[#This Row],[Unt. Preço]]*TB_Vendas[[#This Row],[Qtd]]</f>
        <v>354.5</v>
      </c>
      <c r="I28" s="30" t="s">
        <v>86</v>
      </c>
    </row>
    <row r="29" spans="1:9" x14ac:dyDescent="0.3">
      <c r="A29" s="33">
        <f>MONTH(TB_Vendas[[#This Row],[Data]])</f>
        <v>3</v>
      </c>
      <c r="B29" s="34">
        <v>45006</v>
      </c>
      <c r="C29" s="30" t="s">
        <v>71</v>
      </c>
      <c r="D29" s="30" t="str">
        <f>_xlfn.XLOOKUP(C29,TB_Produtos[Código],TB_Produtos[Tamanho])</f>
        <v>M</v>
      </c>
      <c r="E29" s="30" t="s">
        <v>82</v>
      </c>
      <c r="F29" s="30">
        <v>2</v>
      </c>
      <c r="G29" s="77">
        <f>_xlfn.XLOOKUP(TB_Vendas[[#This Row],[Código]],TB_Produtos[Código],TB_Produtos[Preço Unitário])</f>
        <v>89.9</v>
      </c>
      <c r="H29" s="35">
        <f>TB_Vendas[[#This Row],[Unt. Preço]]*TB_Vendas[[#This Row],[Qtd]]</f>
        <v>179.8</v>
      </c>
      <c r="I29" s="30" t="s">
        <v>84</v>
      </c>
    </row>
    <row r="30" spans="1:9" x14ac:dyDescent="0.3">
      <c r="A30" s="33">
        <f>MONTH(TB_Vendas[[#This Row],[Data]])</f>
        <v>3</v>
      </c>
      <c r="B30" s="34">
        <v>45010</v>
      </c>
      <c r="C30" s="30" t="s">
        <v>45</v>
      </c>
      <c r="D30" s="30" t="str">
        <f>_xlfn.XLOOKUP(C30,TB_Produtos[Código],TB_Produtos[Tamanho])</f>
        <v>G</v>
      </c>
      <c r="E30" s="30" t="s">
        <v>12</v>
      </c>
      <c r="F30" s="30">
        <v>3</v>
      </c>
      <c r="G30" s="77">
        <f>_xlfn.XLOOKUP(TB_Vendas[[#This Row],[Código]],TB_Produtos[Código],TB_Produtos[Preço Unitário])</f>
        <v>70.900000000000006</v>
      </c>
      <c r="H30" s="35">
        <f>TB_Vendas[[#This Row],[Unt. Preço]]*TB_Vendas[[#This Row],[Qtd]]</f>
        <v>212.70000000000002</v>
      </c>
      <c r="I30" s="30" t="s">
        <v>83</v>
      </c>
    </row>
    <row r="31" spans="1:9" x14ac:dyDescent="0.3">
      <c r="A31" s="33">
        <f>MONTH(TB_Vendas[[#This Row],[Data]])</f>
        <v>4</v>
      </c>
      <c r="B31" s="34">
        <v>45018</v>
      </c>
      <c r="C31" s="30" t="s">
        <v>64</v>
      </c>
      <c r="D31" s="30" t="str">
        <f>_xlfn.XLOOKUP(C31,TB_Produtos[Código],TB_Produtos[Tamanho])</f>
        <v>M</v>
      </c>
      <c r="E31" s="30" t="s">
        <v>12</v>
      </c>
      <c r="F31" s="30">
        <v>1</v>
      </c>
      <c r="G31" s="77">
        <f>_xlfn.XLOOKUP(TB_Vendas[[#This Row],[Código]],TB_Produtos[Código],TB_Produtos[Preço Unitário])</f>
        <v>69.900000000000006</v>
      </c>
      <c r="H31" s="35">
        <f>TB_Vendas[[#This Row],[Unt. Preço]]*TB_Vendas[[#This Row],[Qtd]]</f>
        <v>69.900000000000006</v>
      </c>
      <c r="I31" s="30" t="s">
        <v>86</v>
      </c>
    </row>
    <row r="32" spans="1:9" x14ac:dyDescent="0.3">
      <c r="A32" s="33">
        <f>MONTH(TB_Vendas[[#This Row],[Data]])</f>
        <v>4</v>
      </c>
      <c r="B32" s="34">
        <v>45020</v>
      </c>
      <c r="C32" s="30" t="s">
        <v>70</v>
      </c>
      <c r="D32" s="30" t="str">
        <f>_xlfn.XLOOKUP(C32,TB_Produtos[Código],TB_Produtos[Tamanho])</f>
        <v>M</v>
      </c>
      <c r="E32" s="30" t="s">
        <v>82</v>
      </c>
      <c r="F32" s="30">
        <v>4</v>
      </c>
      <c r="G32" s="77">
        <f>_xlfn.XLOOKUP(TB_Vendas[[#This Row],[Código]],TB_Produtos[Código],TB_Produtos[Preço Unitário])</f>
        <v>79.900000000000006</v>
      </c>
      <c r="H32" s="35">
        <f>TB_Vendas[[#This Row],[Unt. Preço]]*TB_Vendas[[#This Row],[Qtd]]</f>
        <v>319.60000000000002</v>
      </c>
      <c r="I32" s="30" t="s">
        <v>86</v>
      </c>
    </row>
    <row r="33" spans="1:9" x14ac:dyDescent="0.3">
      <c r="A33" s="33">
        <f>MONTH(TB_Vendas[[#This Row],[Data]])</f>
        <v>4</v>
      </c>
      <c r="B33" s="34">
        <v>45024</v>
      </c>
      <c r="C33" s="30" t="s">
        <v>80</v>
      </c>
      <c r="D33" s="30" t="str">
        <f>_xlfn.XLOOKUP(C33,TB_Produtos[Código],TB_Produtos[Tamanho])</f>
        <v>Único</v>
      </c>
      <c r="E33" s="30" t="s">
        <v>12</v>
      </c>
      <c r="F33" s="30">
        <v>3</v>
      </c>
      <c r="G33" s="77">
        <f>_xlfn.XLOOKUP(TB_Vendas[[#This Row],[Código]],TB_Produtos[Código],TB_Produtos[Preço Unitário])</f>
        <v>259.89999999999998</v>
      </c>
      <c r="H33" s="35">
        <f>TB_Vendas[[#This Row],[Unt. Preço]]*TB_Vendas[[#This Row],[Qtd]]</f>
        <v>779.69999999999993</v>
      </c>
      <c r="I33" s="30" t="s">
        <v>83</v>
      </c>
    </row>
    <row r="34" spans="1:9" x14ac:dyDescent="0.3">
      <c r="A34" s="33">
        <f>MONTH(TB_Vendas[[#This Row],[Data]])</f>
        <v>4</v>
      </c>
      <c r="B34" s="34">
        <v>45027</v>
      </c>
      <c r="C34" s="30" t="s">
        <v>43</v>
      </c>
      <c r="D34" s="30" t="str">
        <f>_xlfn.XLOOKUP(C34,TB_Produtos[Código],TB_Produtos[Tamanho])</f>
        <v>P</v>
      </c>
      <c r="E34" s="30" t="s">
        <v>12</v>
      </c>
      <c r="F34" s="30">
        <v>2</v>
      </c>
      <c r="G34" s="77">
        <f>_xlfn.XLOOKUP(TB_Vendas[[#This Row],[Código]],TB_Produtos[Código],TB_Produtos[Preço Unitário])</f>
        <v>65.900000000000006</v>
      </c>
      <c r="H34" s="35">
        <f>TB_Vendas[[#This Row],[Unt. Preço]]*TB_Vendas[[#This Row],[Qtd]]</f>
        <v>131.80000000000001</v>
      </c>
      <c r="I34" s="30" t="s">
        <v>84</v>
      </c>
    </row>
    <row r="35" spans="1:9" x14ac:dyDescent="0.3">
      <c r="A35" s="33">
        <f>MONTH(TB_Vendas[[#This Row],[Data]])</f>
        <v>4</v>
      </c>
      <c r="B35" s="34">
        <v>45028</v>
      </c>
      <c r="C35" s="30" t="s">
        <v>51</v>
      </c>
      <c r="D35" s="30">
        <f>_xlfn.XLOOKUP(C35,TB_Produtos[Código],TB_Produtos[Tamanho])</f>
        <v>40</v>
      </c>
      <c r="E35" s="30" t="s">
        <v>12</v>
      </c>
      <c r="F35" s="30">
        <v>1</v>
      </c>
      <c r="G35" s="77">
        <f>_xlfn.XLOOKUP(TB_Vendas[[#This Row],[Código]],TB_Produtos[Código],TB_Produtos[Preço Unitário])</f>
        <v>109.9</v>
      </c>
      <c r="H35" s="35">
        <f>TB_Vendas[[#This Row],[Unt. Preço]]*TB_Vendas[[#This Row],[Qtd]]</f>
        <v>109.9</v>
      </c>
      <c r="I35" s="30" t="s">
        <v>86</v>
      </c>
    </row>
    <row r="36" spans="1:9" x14ac:dyDescent="0.3">
      <c r="A36" s="33">
        <f>MONTH(TB_Vendas[[#This Row],[Data]])</f>
        <v>4</v>
      </c>
      <c r="B36" s="34">
        <v>45029</v>
      </c>
      <c r="C36" s="30" t="s">
        <v>55</v>
      </c>
      <c r="D36" s="30" t="str">
        <f>_xlfn.XLOOKUP(C36,TB_Produtos[Código],TB_Produtos[Tamanho])</f>
        <v>G</v>
      </c>
      <c r="E36" s="30" t="s">
        <v>12</v>
      </c>
      <c r="F36" s="30">
        <v>3</v>
      </c>
      <c r="G36" s="77">
        <f>_xlfn.XLOOKUP(TB_Vendas[[#This Row],[Código]],TB_Produtos[Código],TB_Produtos[Preço Unitário])</f>
        <v>219.9</v>
      </c>
      <c r="H36" s="35">
        <f>TB_Vendas[[#This Row],[Unt. Preço]]*TB_Vendas[[#This Row],[Qtd]]</f>
        <v>659.7</v>
      </c>
      <c r="I36" s="30" t="s">
        <v>86</v>
      </c>
    </row>
    <row r="37" spans="1:9" x14ac:dyDescent="0.3">
      <c r="A37" s="33">
        <f>MONTH(TB_Vendas[[#This Row],[Data]])</f>
        <v>4</v>
      </c>
      <c r="B37" s="34">
        <v>45031</v>
      </c>
      <c r="C37" s="30" t="s">
        <v>63</v>
      </c>
      <c r="D37" s="30" t="str">
        <f>_xlfn.XLOOKUP(C37,TB_Produtos[Código],TB_Produtos[Tamanho])</f>
        <v>P</v>
      </c>
      <c r="E37" s="30" t="s">
        <v>12</v>
      </c>
      <c r="F37" s="30">
        <v>4</v>
      </c>
      <c r="G37" s="77">
        <f>_xlfn.XLOOKUP(TB_Vendas[[#This Row],[Código]],TB_Produtos[Código],TB_Produtos[Preço Unitário])</f>
        <v>69.900000000000006</v>
      </c>
      <c r="H37" s="35">
        <f>TB_Vendas[[#This Row],[Unt. Preço]]*TB_Vendas[[#This Row],[Qtd]]</f>
        <v>279.60000000000002</v>
      </c>
      <c r="I37" s="30" t="s">
        <v>83</v>
      </c>
    </row>
    <row r="38" spans="1:9" x14ac:dyDescent="0.3">
      <c r="A38" s="33">
        <f>MONTH(TB_Vendas[[#This Row],[Data]])</f>
        <v>4</v>
      </c>
      <c r="B38" s="34">
        <v>45038</v>
      </c>
      <c r="C38" s="30" t="s">
        <v>44</v>
      </c>
      <c r="D38" s="30" t="str">
        <f>_xlfn.XLOOKUP(C38,TB_Produtos[Código],TB_Produtos[Tamanho])</f>
        <v>M</v>
      </c>
      <c r="E38" s="30" t="s">
        <v>12</v>
      </c>
      <c r="F38" s="30">
        <v>2</v>
      </c>
      <c r="G38" s="77">
        <f>_xlfn.XLOOKUP(TB_Vendas[[#This Row],[Código]],TB_Produtos[Código],TB_Produtos[Preço Unitário])</f>
        <v>69.900000000000006</v>
      </c>
      <c r="H38" s="35">
        <f>TB_Vendas[[#This Row],[Unt. Preço]]*TB_Vendas[[#This Row],[Qtd]]</f>
        <v>139.80000000000001</v>
      </c>
      <c r="I38" s="30" t="s">
        <v>83</v>
      </c>
    </row>
    <row r="39" spans="1:9" x14ac:dyDescent="0.3">
      <c r="A39" s="33">
        <f>MONTH(TB_Vendas[[#This Row],[Data]])</f>
        <v>4</v>
      </c>
      <c r="B39" s="34">
        <v>45039</v>
      </c>
      <c r="C39" s="30" t="s">
        <v>81</v>
      </c>
      <c r="D39" s="30" t="str">
        <f>_xlfn.XLOOKUP(C39,TB_Produtos[Código],TB_Produtos[Tamanho])</f>
        <v>Único</v>
      </c>
      <c r="E39" s="30" t="s">
        <v>12</v>
      </c>
      <c r="F39" s="30">
        <v>3</v>
      </c>
      <c r="G39" s="77">
        <f>_xlfn.XLOOKUP(TB_Vendas[[#This Row],[Código]],TB_Produtos[Código],TB_Produtos[Preço Unitário])</f>
        <v>259.89999999999998</v>
      </c>
      <c r="H39" s="35">
        <f>TB_Vendas[[#This Row],[Unt. Preço]]*TB_Vendas[[#This Row],[Qtd]]</f>
        <v>779.69999999999993</v>
      </c>
      <c r="I39" s="30" t="s">
        <v>86</v>
      </c>
    </row>
    <row r="40" spans="1:9" x14ac:dyDescent="0.3">
      <c r="A40" s="33">
        <f>MONTH(TB_Vendas[[#This Row],[Data]])</f>
        <v>4</v>
      </c>
      <c r="B40" s="34">
        <v>45042</v>
      </c>
      <c r="C40" s="30" t="s">
        <v>60</v>
      </c>
      <c r="D40" s="30" t="str">
        <f>_xlfn.XLOOKUP(C40,TB_Produtos[Código],TB_Produtos[Tamanho])</f>
        <v>M</v>
      </c>
      <c r="E40" s="30" t="s">
        <v>12</v>
      </c>
      <c r="F40" s="30">
        <v>1</v>
      </c>
      <c r="G40" s="77">
        <f>_xlfn.XLOOKUP(TB_Vendas[[#This Row],[Código]],TB_Produtos[Código],TB_Produtos[Preço Unitário])</f>
        <v>99.9</v>
      </c>
      <c r="H40" s="35">
        <f>TB_Vendas[[#This Row],[Unt. Preço]]*TB_Vendas[[#This Row],[Qtd]]</f>
        <v>99.9</v>
      </c>
      <c r="I40" s="30" t="s">
        <v>84</v>
      </c>
    </row>
    <row r="41" spans="1:9" x14ac:dyDescent="0.3">
      <c r="A41" s="33">
        <f>MONTH(TB_Vendas[[#This Row],[Data]])</f>
        <v>4</v>
      </c>
      <c r="B41" s="34">
        <v>45043</v>
      </c>
      <c r="C41" s="30" t="s">
        <v>56</v>
      </c>
      <c r="D41" s="30" t="str">
        <f>_xlfn.XLOOKUP(C41,TB_Produtos[Código],TB_Produtos[Tamanho])</f>
        <v>P</v>
      </c>
      <c r="E41" s="30" t="s">
        <v>12</v>
      </c>
      <c r="F41" s="30">
        <v>4</v>
      </c>
      <c r="G41" s="77">
        <f>_xlfn.XLOOKUP(TB_Vendas[[#This Row],[Código]],TB_Produtos[Código],TB_Produtos[Preço Unitário])</f>
        <v>219.9</v>
      </c>
      <c r="H41" s="35">
        <f>TB_Vendas[[#This Row],[Unt. Preço]]*TB_Vendas[[#This Row],[Qtd]]</f>
        <v>879.6</v>
      </c>
      <c r="I41" s="30" t="s">
        <v>84</v>
      </c>
    </row>
    <row r="42" spans="1:9" x14ac:dyDescent="0.3">
      <c r="A42" s="33">
        <f>MONTH(TB_Vendas[[#This Row],[Data]])</f>
        <v>5</v>
      </c>
      <c r="B42" s="34">
        <v>45054</v>
      </c>
      <c r="C42" s="30" t="s">
        <v>67</v>
      </c>
      <c r="D42" s="30" t="str">
        <f>_xlfn.XLOOKUP(C42,TB_Produtos[Código],TB_Produtos[Tamanho])</f>
        <v>P</v>
      </c>
      <c r="E42" s="30" t="s">
        <v>12</v>
      </c>
      <c r="F42" s="30">
        <v>2</v>
      </c>
      <c r="G42" s="77">
        <f>_xlfn.XLOOKUP(TB_Vendas[[#This Row],[Código]],TB_Produtos[Código],TB_Produtos[Preço Unitário])</f>
        <v>149.9</v>
      </c>
      <c r="H42" s="35">
        <f>TB_Vendas[[#This Row],[Unt. Preço]]*TB_Vendas[[#This Row],[Qtd]]</f>
        <v>299.8</v>
      </c>
      <c r="I42" s="30" t="s">
        <v>83</v>
      </c>
    </row>
    <row r="43" spans="1:9" x14ac:dyDescent="0.3">
      <c r="A43" s="33">
        <f>MONTH(TB_Vendas[[#This Row],[Data]])</f>
        <v>5</v>
      </c>
      <c r="B43" s="34">
        <v>45055</v>
      </c>
      <c r="C43" s="30" t="s">
        <v>57</v>
      </c>
      <c r="D43" s="30" t="str">
        <f>_xlfn.XLOOKUP(C43,TB_Produtos[Código],TB_Produtos[Tamanho])</f>
        <v>P</v>
      </c>
      <c r="E43" s="30" t="s">
        <v>12</v>
      </c>
      <c r="F43" s="30">
        <v>3</v>
      </c>
      <c r="G43" s="77">
        <f>_xlfn.XLOOKUP(TB_Vendas[[#This Row],[Código]],TB_Produtos[Código],TB_Produtos[Preço Unitário])</f>
        <v>249.9</v>
      </c>
      <c r="H43" s="35">
        <f>TB_Vendas[[#This Row],[Unt. Preço]]*TB_Vendas[[#This Row],[Qtd]]</f>
        <v>749.7</v>
      </c>
      <c r="I43" s="30" t="s">
        <v>83</v>
      </c>
    </row>
    <row r="44" spans="1:9" x14ac:dyDescent="0.3">
      <c r="A44" s="33">
        <f>MONTH(TB_Vendas[[#This Row],[Data]])</f>
        <v>5</v>
      </c>
      <c r="B44" s="34">
        <v>45056</v>
      </c>
      <c r="C44" s="30" t="s">
        <v>74</v>
      </c>
      <c r="D44" s="30" t="str">
        <f>_xlfn.XLOOKUP(C44,TB_Produtos[Código],TB_Produtos[Tamanho])</f>
        <v>P</v>
      </c>
      <c r="E44" s="30" t="s">
        <v>82</v>
      </c>
      <c r="F44" s="30">
        <v>1</v>
      </c>
      <c r="G44" s="77">
        <f>_xlfn.XLOOKUP(TB_Vendas[[#This Row],[Código]],TB_Produtos[Código],TB_Produtos[Preço Unitário])</f>
        <v>69.900000000000006</v>
      </c>
      <c r="H44" s="35">
        <f>TB_Vendas[[#This Row],[Unt. Preço]]*TB_Vendas[[#This Row],[Qtd]]</f>
        <v>69.900000000000006</v>
      </c>
      <c r="I44" s="30" t="s">
        <v>86</v>
      </c>
    </row>
    <row r="45" spans="1:9" x14ac:dyDescent="0.3">
      <c r="A45" s="33">
        <f>MONTH(TB_Vendas[[#This Row],[Data]])</f>
        <v>5</v>
      </c>
      <c r="B45" s="34">
        <v>45057</v>
      </c>
      <c r="C45" s="30" t="s">
        <v>74</v>
      </c>
      <c r="D45" s="30" t="str">
        <f>_xlfn.XLOOKUP(C45,TB_Produtos[Código],TB_Produtos[Tamanho])</f>
        <v>P</v>
      </c>
      <c r="E45" s="30" t="s">
        <v>82</v>
      </c>
      <c r="F45" s="30">
        <v>2</v>
      </c>
      <c r="G45" s="77">
        <f>_xlfn.XLOOKUP(TB_Vendas[[#This Row],[Código]],TB_Produtos[Código],TB_Produtos[Preço Unitário])</f>
        <v>69.900000000000006</v>
      </c>
      <c r="H45" s="35">
        <f>TB_Vendas[[#This Row],[Unt. Preço]]*TB_Vendas[[#This Row],[Qtd]]</f>
        <v>139.80000000000001</v>
      </c>
      <c r="I45" s="30" t="s">
        <v>84</v>
      </c>
    </row>
    <row r="46" spans="1:9" x14ac:dyDescent="0.3">
      <c r="A46" s="33">
        <f>MONTH(TB_Vendas[[#This Row],[Data]])</f>
        <v>5</v>
      </c>
      <c r="B46" s="34">
        <v>45058</v>
      </c>
      <c r="C46" s="30" t="s">
        <v>54</v>
      </c>
      <c r="D46" s="30" t="str">
        <f>_xlfn.XLOOKUP(C46,TB_Produtos[Código],TB_Produtos[Tamanho])</f>
        <v>M</v>
      </c>
      <c r="E46" s="30" t="s">
        <v>12</v>
      </c>
      <c r="F46" s="30">
        <v>3</v>
      </c>
      <c r="G46" s="77">
        <f>_xlfn.XLOOKUP(TB_Vendas[[#This Row],[Código]],TB_Produtos[Código],TB_Produtos[Preço Unitário])</f>
        <v>219.9</v>
      </c>
      <c r="H46" s="35">
        <f>TB_Vendas[[#This Row],[Unt. Preço]]*TB_Vendas[[#This Row],[Qtd]]</f>
        <v>659.7</v>
      </c>
      <c r="I46" s="30" t="s">
        <v>83</v>
      </c>
    </row>
    <row r="47" spans="1:9" x14ac:dyDescent="0.3">
      <c r="A47" s="33">
        <f>MONTH(TB_Vendas[[#This Row],[Data]])</f>
        <v>5</v>
      </c>
      <c r="B47" s="34">
        <v>45061</v>
      </c>
      <c r="C47" s="30" t="s">
        <v>61</v>
      </c>
      <c r="D47" s="30" t="str">
        <f>_xlfn.XLOOKUP(C47,TB_Produtos[Código],TB_Produtos[Tamanho])</f>
        <v>P</v>
      </c>
      <c r="E47" s="30" t="s">
        <v>13</v>
      </c>
      <c r="F47" s="30">
        <v>2</v>
      </c>
      <c r="G47" s="77">
        <f>_xlfn.XLOOKUP(TB_Vendas[[#This Row],[Código]],TB_Produtos[Código],TB_Produtos[Preço Unitário])</f>
        <v>85</v>
      </c>
      <c r="H47" s="35">
        <f>TB_Vendas[[#This Row],[Unt. Preço]]*TB_Vendas[[#This Row],[Qtd]]</f>
        <v>170</v>
      </c>
      <c r="I47" s="30" t="s">
        <v>84</v>
      </c>
    </row>
    <row r="48" spans="1:9" x14ac:dyDescent="0.3">
      <c r="A48" s="33">
        <f>MONTH(TB_Vendas[[#This Row],[Data]])</f>
        <v>5</v>
      </c>
      <c r="B48" s="34">
        <v>45064</v>
      </c>
      <c r="C48" s="30" t="s">
        <v>54</v>
      </c>
      <c r="D48" s="30" t="str">
        <f>_xlfn.XLOOKUP(C48,TB_Produtos[Código],TB_Produtos[Tamanho])</f>
        <v>M</v>
      </c>
      <c r="E48" s="30" t="s">
        <v>12</v>
      </c>
      <c r="F48" s="30">
        <v>4</v>
      </c>
      <c r="G48" s="77">
        <f>_xlfn.XLOOKUP(TB_Vendas[[#This Row],[Código]],TB_Produtos[Código],TB_Produtos[Preço Unitário])</f>
        <v>219.9</v>
      </c>
      <c r="H48" s="35">
        <f>TB_Vendas[[#This Row],[Unt. Preço]]*TB_Vendas[[#This Row],[Qtd]]</f>
        <v>879.6</v>
      </c>
      <c r="I48" s="30" t="s">
        <v>86</v>
      </c>
    </row>
    <row r="49" spans="1:9" x14ac:dyDescent="0.3">
      <c r="A49" s="33">
        <f>MONTH(TB_Vendas[[#This Row],[Data]])</f>
        <v>6</v>
      </c>
      <c r="B49" s="34">
        <v>45084</v>
      </c>
      <c r="C49" s="30" t="s">
        <v>70</v>
      </c>
      <c r="D49" s="30" t="str">
        <f>_xlfn.XLOOKUP(C49,TB_Produtos[Código],TB_Produtos[Tamanho])</f>
        <v>M</v>
      </c>
      <c r="E49" s="30" t="s">
        <v>82</v>
      </c>
      <c r="F49" s="30">
        <v>3</v>
      </c>
      <c r="G49" s="77">
        <f>_xlfn.XLOOKUP(TB_Vendas[[#This Row],[Código]],TB_Produtos[Código],TB_Produtos[Preço Unitário])</f>
        <v>79.900000000000006</v>
      </c>
      <c r="H49" s="35">
        <f>TB_Vendas[[#This Row],[Unt. Preço]]*TB_Vendas[[#This Row],[Qtd]]</f>
        <v>239.70000000000002</v>
      </c>
      <c r="I49" s="30" t="s">
        <v>83</v>
      </c>
    </row>
    <row r="50" spans="1:9" x14ac:dyDescent="0.3">
      <c r="A50" s="33">
        <f>MONTH(TB_Vendas[[#This Row],[Data]])</f>
        <v>6</v>
      </c>
      <c r="B50" s="34">
        <v>45084</v>
      </c>
      <c r="C50" s="30" t="s">
        <v>64</v>
      </c>
      <c r="D50" s="30" t="str">
        <f>_xlfn.XLOOKUP(C50,TB_Produtos[Código],TB_Produtos[Tamanho])</f>
        <v>M</v>
      </c>
      <c r="E50" s="30" t="s">
        <v>12</v>
      </c>
      <c r="F50" s="30">
        <v>2</v>
      </c>
      <c r="G50" s="77">
        <f>_xlfn.XLOOKUP(TB_Vendas[[#This Row],[Código]],TB_Produtos[Código],TB_Produtos[Preço Unitário])</f>
        <v>69.900000000000006</v>
      </c>
      <c r="H50" s="35">
        <f>TB_Vendas[[#This Row],[Unt. Preço]]*TB_Vendas[[#This Row],[Qtd]]</f>
        <v>139.80000000000001</v>
      </c>
      <c r="I50" s="30" t="s">
        <v>86</v>
      </c>
    </row>
    <row r="51" spans="1:9" x14ac:dyDescent="0.3">
      <c r="A51" s="33">
        <f>MONTH(TB_Vendas[[#This Row],[Data]])</f>
        <v>6</v>
      </c>
      <c r="B51" s="34">
        <v>45086</v>
      </c>
      <c r="C51" s="30" t="s">
        <v>61</v>
      </c>
      <c r="D51" s="30" t="str">
        <f>_xlfn.XLOOKUP(C51,TB_Produtos[Código],TB_Produtos[Tamanho])</f>
        <v>P</v>
      </c>
      <c r="E51" s="30" t="s">
        <v>13</v>
      </c>
      <c r="F51" s="30">
        <v>2</v>
      </c>
      <c r="G51" s="77">
        <f>_xlfn.XLOOKUP(TB_Vendas[[#This Row],[Código]],TB_Produtos[Código],TB_Produtos[Preço Unitário])</f>
        <v>85</v>
      </c>
      <c r="H51" s="35">
        <f>TB_Vendas[[#This Row],[Unt. Preço]]*TB_Vendas[[#This Row],[Qtd]]</f>
        <v>170</v>
      </c>
      <c r="I51" s="30" t="s">
        <v>86</v>
      </c>
    </row>
    <row r="52" spans="1:9" x14ac:dyDescent="0.3">
      <c r="A52" s="33">
        <f>MONTH(TB_Vendas[[#This Row],[Data]])</f>
        <v>6</v>
      </c>
      <c r="B52" s="34">
        <v>45086</v>
      </c>
      <c r="C52" s="30" t="s">
        <v>78</v>
      </c>
      <c r="D52" s="30" t="str">
        <f>_xlfn.XLOOKUP(C52,TB_Produtos[Código],TB_Produtos[Tamanho])</f>
        <v>Único</v>
      </c>
      <c r="E52" s="30" t="s">
        <v>12</v>
      </c>
      <c r="F52" s="30">
        <v>2</v>
      </c>
      <c r="G52" s="77">
        <f>_xlfn.XLOOKUP(TB_Vendas[[#This Row],[Código]],TB_Produtos[Código],TB_Produtos[Preço Unitário])</f>
        <v>145</v>
      </c>
      <c r="H52" s="35">
        <f>TB_Vendas[[#This Row],[Unt. Preço]]*TB_Vendas[[#This Row],[Qtd]]</f>
        <v>290</v>
      </c>
      <c r="I52" s="30" t="s">
        <v>84</v>
      </c>
    </row>
    <row r="53" spans="1:9" x14ac:dyDescent="0.3">
      <c r="A53" s="33">
        <f>MONTH(TB_Vendas[[#This Row],[Data]])</f>
        <v>6</v>
      </c>
      <c r="B53" s="34">
        <v>45088</v>
      </c>
      <c r="C53" s="30" t="s">
        <v>46</v>
      </c>
      <c r="D53" s="30" t="str">
        <f>_xlfn.XLOOKUP(C53,TB_Produtos[Código],TB_Produtos[Tamanho])</f>
        <v>P</v>
      </c>
      <c r="E53" s="30" t="s">
        <v>13</v>
      </c>
      <c r="F53" s="30">
        <v>1</v>
      </c>
      <c r="G53" s="77">
        <f>_xlfn.XLOOKUP(TB_Vendas[[#This Row],[Código]],TB_Produtos[Código],TB_Produtos[Preço Unitário])</f>
        <v>65.900000000000006</v>
      </c>
      <c r="H53" s="35">
        <f>TB_Vendas[[#This Row],[Unt. Preço]]*TB_Vendas[[#This Row],[Qtd]]</f>
        <v>65.900000000000006</v>
      </c>
      <c r="I53" s="30" t="s">
        <v>83</v>
      </c>
    </row>
    <row r="54" spans="1:9" x14ac:dyDescent="0.3">
      <c r="A54" s="33">
        <f>MONTH(TB_Vendas[[#This Row],[Data]])</f>
        <v>6</v>
      </c>
      <c r="B54" s="34">
        <v>45090</v>
      </c>
      <c r="C54" s="30" t="s">
        <v>63</v>
      </c>
      <c r="D54" s="30" t="str">
        <f>_xlfn.XLOOKUP(C54,TB_Produtos[Código],TB_Produtos[Tamanho])</f>
        <v>P</v>
      </c>
      <c r="E54" s="30" t="s">
        <v>12</v>
      </c>
      <c r="F54" s="30">
        <v>1</v>
      </c>
      <c r="G54" s="77">
        <f>_xlfn.XLOOKUP(TB_Vendas[[#This Row],[Código]],TB_Produtos[Código],TB_Produtos[Preço Unitário])</f>
        <v>69.900000000000006</v>
      </c>
      <c r="H54" s="35">
        <f>TB_Vendas[[#This Row],[Unt. Preço]]*TB_Vendas[[#This Row],[Qtd]]</f>
        <v>69.900000000000006</v>
      </c>
      <c r="I54" s="30" t="s">
        <v>83</v>
      </c>
    </row>
    <row r="55" spans="1:9" x14ac:dyDescent="0.3">
      <c r="A55" s="33">
        <f>MONTH(TB_Vendas[[#This Row],[Data]])</f>
        <v>6</v>
      </c>
      <c r="B55" s="34">
        <v>45093</v>
      </c>
      <c r="C55" s="30" t="s">
        <v>44</v>
      </c>
      <c r="D55" s="30" t="str">
        <f>_xlfn.XLOOKUP(C55,TB_Produtos[Código],TB_Produtos[Tamanho])</f>
        <v>M</v>
      </c>
      <c r="E55" s="30" t="s">
        <v>12</v>
      </c>
      <c r="F55" s="30">
        <v>3</v>
      </c>
      <c r="G55" s="77">
        <f>_xlfn.XLOOKUP(TB_Vendas[[#This Row],[Código]],TB_Produtos[Código],TB_Produtos[Preço Unitário])</f>
        <v>69.900000000000006</v>
      </c>
      <c r="H55" s="35">
        <f>TB_Vendas[[#This Row],[Unt. Preço]]*TB_Vendas[[#This Row],[Qtd]]</f>
        <v>209.70000000000002</v>
      </c>
      <c r="I55" s="30" t="s">
        <v>83</v>
      </c>
    </row>
    <row r="56" spans="1:9" x14ac:dyDescent="0.3">
      <c r="A56" s="33">
        <f>MONTH(TB_Vendas[[#This Row],[Data]])</f>
        <v>6</v>
      </c>
      <c r="B56" s="34">
        <v>45093</v>
      </c>
      <c r="C56" s="30" t="s">
        <v>57</v>
      </c>
      <c r="D56" s="30" t="str">
        <f>_xlfn.XLOOKUP(C56,TB_Produtos[Código],TB_Produtos[Tamanho])</f>
        <v>P</v>
      </c>
      <c r="E56" s="30" t="s">
        <v>12</v>
      </c>
      <c r="F56" s="30">
        <v>4</v>
      </c>
      <c r="G56" s="77">
        <f>_xlfn.XLOOKUP(TB_Vendas[[#This Row],[Código]],TB_Produtos[Código],TB_Produtos[Preço Unitário])</f>
        <v>249.9</v>
      </c>
      <c r="H56" s="35">
        <f>TB_Vendas[[#This Row],[Unt. Preço]]*TB_Vendas[[#This Row],[Qtd]]</f>
        <v>999.6</v>
      </c>
      <c r="I56" s="30" t="s">
        <v>86</v>
      </c>
    </row>
    <row r="57" spans="1:9" x14ac:dyDescent="0.3">
      <c r="A57" s="33">
        <f>MONTH(TB_Vendas[[#This Row],[Data]])</f>
        <v>6</v>
      </c>
      <c r="B57" s="34">
        <v>45094</v>
      </c>
      <c r="C57" s="30" t="s">
        <v>61</v>
      </c>
      <c r="D57" s="30" t="str">
        <f>_xlfn.XLOOKUP(C57,TB_Produtos[Código],TB_Produtos[Tamanho])</f>
        <v>P</v>
      </c>
      <c r="E57" s="30" t="s">
        <v>13</v>
      </c>
      <c r="F57" s="30">
        <v>2</v>
      </c>
      <c r="G57" s="77">
        <f>_xlfn.XLOOKUP(TB_Vendas[[#This Row],[Código]],TB_Produtos[Código],TB_Produtos[Preço Unitário])</f>
        <v>85</v>
      </c>
      <c r="H57" s="35">
        <f>TB_Vendas[[#This Row],[Unt. Preço]]*TB_Vendas[[#This Row],[Qtd]]</f>
        <v>170</v>
      </c>
      <c r="I57" s="30" t="s">
        <v>86</v>
      </c>
    </row>
    <row r="58" spans="1:9" x14ac:dyDescent="0.3">
      <c r="A58" s="33">
        <f>MONTH(TB_Vendas[[#This Row],[Data]])</f>
        <v>6</v>
      </c>
      <c r="B58" s="34">
        <v>45097</v>
      </c>
      <c r="C58" s="30" t="s">
        <v>44</v>
      </c>
      <c r="D58" s="30" t="str">
        <f>_xlfn.XLOOKUP(C58,TB_Produtos[Código],TB_Produtos[Tamanho])</f>
        <v>M</v>
      </c>
      <c r="E58" s="30" t="s">
        <v>12</v>
      </c>
      <c r="F58" s="30">
        <v>1</v>
      </c>
      <c r="G58" s="77">
        <f>_xlfn.XLOOKUP(TB_Vendas[[#This Row],[Código]],TB_Produtos[Código],TB_Produtos[Preço Unitário])</f>
        <v>69.900000000000006</v>
      </c>
      <c r="H58" s="35">
        <f>TB_Vendas[[#This Row],[Unt. Preço]]*TB_Vendas[[#This Row],[Qtd]]</f>
        <v>69.900000000000006</v>
      </c>
      <c r="I58" s="30" t="s">
        <v>84</v>
      </c>
    </row>
    <row r="59" spans="1:9" x14ac:dyDescent="0.3">
      <c r="A59" s="33">
        <f>MONTH(TB_Vendas[[#This Row],[Data]])</f>
        <v>6</v>
      </c>
      <c r="B59" s="34">
        <v>45105</v>
      </c>
      <c r="C59" s="30" t="s">
        <v>50</v>
      </c>
      <c r="D59" s="30" t="str">
        <f>_xlfn.XLOOKUP(C59,TB_Produtos[Código],TB_Produtos[Tamanho])</f>
        <v>G</v>
      </c>
      <c r="E59" s="30" t="s">
        <v>12</v>
      </c>
      <c r="F59" s="30">
        <v>5</v>
      </c>
      <c r="G59" s="77">
        <f>_xlfn.XLOOKUP(TB_Vendas[[#This Row],[Código]],TB_Produtos[Código],TB_Produtos[Preço Unitário])</f>
        <v>75</v>
      </c>
      <c r="H59" s="35">
        <f>TB_Vendas[[#This Row],[Unt. Preço]]*TB_Vendas[[#This Row],[Qtd]]</f>
        <v>375</v>
      </c>
      <c r="I59" s="30" t="s">
        <v>84</v>
      </c>
    </row>
    <row r="60" spans="1:9" x14ac:dyDescent="0.3">
      <c r="A60" s="33">
        <f>MONTH(TB_Vendas[[#This Row],[Data]])</f>
        <v>6</v>
      </c>
      <c r="B60" s="34">
        <v>45105</v>
      </c>
      <c r="C60" s="30" t="s">
        <v>79</v>
      </c>
      <c r="D60" s="30" t="str">
        <f>_xlfn.XLOOKUP(C60,TB_Produtos[Código],TB_Produtos[Tamanho])</f>
        <v>Único</v>
      </c>
      <c r="E60" s="30" t="s">
        <v>12</v>
      </c>
      <c r="F60" s="30">
        <v>2</v>
      </c>
      <c r="G60" s="77">
        <f>_xlfn.XLOOKUP(TB_Vendas[[#This Row],[Código]],TB_Produtos[Código],TB_Produtos[Preço Unitário])</f>
        <v>145</v>
      </c>
      <c r="H60" s="35">
        <f>TB_Vendas[[#This Row],[Unt. Preço]]*TB_Vendas[[#This Row],[Qtd]]</f>
        <v>290</v>
      </c>
      <c r="I60" s="30" t="s">
        <v>84</v>
      </c>
    </row>
    <row r="61" spans="1:9" x14ac:dyDescent="0.3">
      <c r="A61" s="33">
        <f>MONTH(TB_Vendas[[#This Row],[Data]])</f>
        <v>6</v>
      </c>
      <c r="B61" s="34">
        <v>45105</v>
      </c>
      <c r="C61" s="30" t="s">
        <v>47</v>
      </c>
      <c r="D61" s="30" t="str">
        <f>_xlfn.XLOOKUP(C61,TB_Produtos[Código],TB_Produtos[Tamanho])</f>
        <v>M</v>
      </c>
      <c r="E61" s="30" t="s">
        <v>13</v>
      </c>
      <c r="F61" s="30">
        <v>3</v>
      </c>
      <c r="G61" s="77">
        <f>_xlfn.XLOOKUP(TB_Vendas[[#This Row],[Código]],TB_Produtos[Código],TB_Produtos[Preço Unitário])</f>
        <v>69.900000000000006</v>
      </c>
      <c r="H61" s="35">
        <f>TB_Vendas[[#This Row],[Unt. Preço]]*TB_Vendas[[#This Row],[Qtd]]</f>
        <v>209.70000000000002</v>
      </c>
      <c r="I61" s="30" t="s">
        <v>86</v>
      </c>
    </row>
    <row r="62" spans="1:9" x14ac:dyDescent="0.3">
      <c r="A62" s="36">
        <f>MONTH(TB_Vendas[[#This Row],[Data]])</f>
        <v>7</v>
      </c>
      <c r="B62" s="37">
        <v>45112</v>
      </c>
      <c r="C62" s="30" t="s">
        <v>299</v>
      </c>
      <c r="D62" s="38" t="str">
        <f>_xlfn.XLOOKUP(C62,TB_Produtos[Código],TB_Produtos[Tamanho])</f>
        <v>M</v>
      </c>
      <c r="E62" s="38" t="s">
        <v>13</v>
      </c>
      <c r="F62" s="38">
        <v>1</v>
      </c>
      <c r="G62" s="78">
        <f>_xlfn.XLOOKUP(TB_Vendas[[#This Row],[Código]],TB_Produtos[Código],TB_Produtos[Preço Unitário])</f>
        <v>89.9</v>
      </c>
      <c r="H62" s="39">
        <f>TB_Vendas[[#This Row],[Unt. Preço]]*TB_Vendas[[#This Row],[Qtd]]</f>
        <v>89.9</v>
      </c>
      <c r="I62" s="40" t="s">
        <v>84</v>
      </c>
    </row>
    <row r="63" spans="1:9" x14ac:dyDescent="0.3">
      <c r="A63" s="36">
        <f>MONTH(TB_Vendas[[#This Row],[Data]])</f>
        <v>7</v>
      </c>
      <c r="B63" s="37">
        <v>45113</v>
      </c>
      <c r="C63" s="30" t="s">
        <v>300</v>
      </c>
      <c r="D63" s="38" t="str">
        <f>_xlfn.XLOOKUP(C63,TB_Produtos[Código],TB_Produtos[Tamanho])</f>
        <v>G</v>
      </c>
      <c r="E63" s="38" t="s">
        <v>82</v>
      </c>
      <c r="F63" s="38">
        <v>1</v>
      </c>
      <c r="G63" s="78">
        <f>_xlfn.XLOOKUP(TB_Vendas[[#This Row],[Código]],TB_Produtos[Código],TB_Produtos[Preço Unitário])</f>
        <v>92.9</v>
      </c>
      <c r="H63" s="39">
        <f>TB_Vendas[[#This Row],[Unt. Preço]]*TB_Vendas[[#This Row],[Qtd]]</f>
        <v>92.9</v>
      </c>
      <c r="I63" s="40" t="s">
        <v>83</v>
      </c>
    </row>
    <row r="64" spans="1:9" x14ac:dyDescent="0.3">
      <c r="A64" s="36">
        <f>MONTH(TB_Vendas[[#This Row],[Data]])</f>
        <v>7</v>
      </c>
      <c r="B64" s="37">
        <v>45114</v>
      </c>
      <c r="C64" s="30" t="s">
        <v>301</v>
      </c>
      <c r="D64" s="38">
        <f>_xlfn.XLOOKUP(C64,TB_Produtos[Código],TB_Produtos[Tamanho])</f>
        <v>44</v>
      </c>
      <c r="E64" s="38" t="s">
        <v>82</v>
      </c>
      <c r="F64" s="38">
        <v>2</v>
      </c>
      <c r="G64" s="78">
        <f>_xlfn.XLOOKUP(TB_Vendas[[#This Row],[Código]],TB_Produtos[Código],TB_Produtos[Preço Unitário])</f>
        <v>139.9</v>
      </c>
      <c r="H64" s="39">
        <f>TB_Vendas[[#This Row],[Unt. Preço]]*TB_Vendas[[#This Row],[Qtd]]</f>
        <v>279.8</v>
      </c>
      <c r="I64" s="40" t="s">
        <v>86</v>
      </c>
    </row>
    <row r="65" spans="1:9" x14ac:dyDescent="0.3">
      <c r="A65" s="36">
        <f>MONTH(TB_Vendas[[#This Row],[Data]])</f>
        <v>7</v>
      </c>
      <c r="B65" s="37">
        <v>45119</v>
      </c>
      <c r="C65" s="30" t="s">
        <v>302</v>
      </c>
      <c r="D65" s="38">
        <f>_xlfn.XLOOKUP(C65,TB_Produtos[Código],TB_Produtos[Tamanho])</f>
        <v>40</v>
      </c>
      <c r="E65" s="38" t="s">
        <v>12</v>
      </c>
      <c r="F65" s="38">
        <v>1</v>
      </c>
      <c r="G65" s="78">
        <f>_xlfn.XLOOKUP(TB_Vendas[[#This Row],[Código]],TB_Produtos[Código],TB_Produtos[Preço Unitário])</f>
        <v>129.9</v>
      </c>
      <c r="H65" s="39">
        <f>TB_Vendas[[#This Row],[Unt. Preço]]*TB_Vendas[[#This Row],[Qtd]]</f>
        <v>129.9</v>
      </c>
      <c r="I65" s="40" t="s">
        <v>86</v>
      </c>
    </row>
    <row r="66" spans="1:9" x14ac:dyDescent="0.3">
      <c r="A66" s="36">
        <f>MONTH(TB_Vendas[[#This Row],[Data]])</f>
        <v>7</v>
      </c>
      <c r="B66" s="37">
        <v>45120</v>
      </c>
      <c r="C66" s="30" t="s">
        <v>303</v>
      </c>
      <c r="D66" s="38">
        <f>_xlfn.XLOOKUP(C66,TB_Produtos[Código],TB_Produtos[Tamanho])</f>
        <v>36</v>
      </c>
      <c r="E66" s="38" t="s">
        <v>12</v>
      </c>
      <c r="F66" s="38">
        <v>1</v>
      </c>
      <c r="G66" s="78">
        <f>_xlfn.XLOOKUP(TB_Vendas[[#This Row],[Código]],TB_Produtos[Código],TB_Produtos[Preço Unitário])</f>
        <v>139.9</v>
      </c>
      <c r="H66" s="39">
        <f>TB_Vendas[[#This Row],[Unt. Preço]]*TB_Vendas[[#This Row],[Qtd]]</f>
        <v>139.9</v>
      </c>
      <c r="I66" s="40" t="s">
        <v>83</v>
      </c>
    </row>
    <row r="67" spans="1:9" x14ac:dyDescent="0.3">
      <c r="A67" s="36">
        <f>MONTH(TB_Vendas[[#This Row],[Data]])</f>
        <v>7</v>
      </c>
      <c r="B67" s="37">
        <v>45124</v>
      </c>
      <c r="C67" s="30" t="s">
        <v>304</v>
      </c>
      <c r="D67" s="38">
        <f>_xlfn.XLOOKUP(C67,TB_Produtos[Código],TB_Produtos[Tamanho])</f>
        <v>38</v>
      </c>
      <c r="E67" s="38" t="s">
        <v>82</v>
      </c>
      <c r="F67" s="38">
        <v>1</v>
      </c>
      <c r="G67" s="78">
        <f>_xlfn.XLOOKUP(TB_Vendas[[#This Row],[Código]],TB_Produtos[Código],TB_Produtos[Preço Unitário])</f>
        <v>139.9</v>
      </c>
      <c r="H67" s="39">
        <f>TB_Vendas[[#This Row],[Unt. Preço]]*TB_Vendas[[#This Row],[Qtd]]</f>
        <v>139.9</v>
      </c>
      <c r="I67" s="40" t="s">
        <v>83</v>
      </c>
    </row>
    <row r="68" spans="1:9" x14ac:dyDescent="0.3">
      <c r="A68" s="36">
        <f>MONTH(TB_Vendas[[#This Row],[Data]])</f>
        <v>7</v>
      </c>
      <c r="B68" s="37">
        <v>45130</v>
      </c>
      <c r="C68" s="30" t="s">
        <v>305</v>
      </c>
      <c r="D68" s="38">
        <f>_xlfn.XLOOKUP(C68,TB_Produtos[Código],TB_Produtos[Tamanho])</f>
        <v>38</v>
      </c>
      <c r="E68" s="38" t="s">
        <v>13</v>
      </c>
      <c r="F68" s="38">
        <v>1</v>
      </c>
      <c r="G68" s="78">
        <f>_xlfn.XLOOKUP(TB_Vendas[[#This Row],[Código]],TB_Produtos[Código],TB_Produtos[Preço Unitário])</f>
        <v>139.9</v>
      </c>
      <c r="H68" s="39">
        <f>TB_Vendas[[#This Row],[Unt. Preço]]*TB_Vendas[[#This Row],[Qtd]]</f>
        <v>139.9</v>
      </c>
      <c r="I68" s="40" t="s">
        <v>84</v>
      </c>
    </row>
    <row r="69" spans="1:9" x14ac:dyDescent="0.3">
      <c r="A69" s="36">
        <f>MONTH(TB_Vendas[[#This Row],[Data]])</f>
        <v>7</v>
      </c>
      <c r="B69" s="37">
        <v>45133</v>
      </c>
      <c r="C69" s="30" t="s">
        <v>306</v>
      </c>
      <c r="D69" s="38">
        <f>_xlfn.XLOOKUP(C69,TB_Produtos[Código],TB_Produtos[Tamanho])</f>
        <v>40</v>
      </c>
      <c r="E69" s="38" t="s">
        <v>12</v>
      </c>
      <c r="F69" s="38">
        <v>2</v>
      </c>
      <c r="G69" s="78">
        <f>_xlfn.XLOOKUP(TB_Vendas[[#This Row],[Código]],TB_Produtos[Código],TB_Produtos[Preço Unitário])</f>
        <v>139.9</v>
      </c>
      <c r="H69" s="39">
        <f>TB_Vendas[[#This Row],[Unt. Preço]]*TB_Vendas[[#This Row],[Qtd]]</f>
        <v>279.8</v>
      </c>
      <c r="I69" s="40" t="s">
        <v>83</v>
      </c>
    </row>
    <row r="70" spans="1:9" x14ac:dyDescent="0.3">
      <c r="A70" s="36">
        <f>MONTH(TB_Vendas[[#This Row],[Data]])</f>
        <v>7</v>
      </c>
      <c r="B70" s="37">
        <v>45135</v>
      </c>
      <c r="C70" s="30" t="s">
        <v>307</v>
      </c>
      <c r="D70" s="38">
        <f>_xlfn.XLOOKUP(C70,TB_Produtos[Código],TB_Produtos[Tamanho])</f>
        <v>42</v>
      </c>
      <c r="E70" s="38" t="s">
        <v>12</v>
      </c>
      <c r="F70" s="38">
        <v>2</v>
      </c>
      <c r="G70" s="78">
        <f>_xlfn.XLOOKUP(TB_Vendas[[#This Row],[Código]],TB_Produtos[Código],TB_Produtos[Preço Unitário])</f>
        <v>139.9</v>
      </c>
      <c r="H70" s="39">
        <f>TB_Vendas[[#This Row],[Unt. Preço]]*TB_Vendas[[#This Row],[Qtd]]</f>
        <v>279.8</v>
      </c>
      <c r="I70" s="40" t="s">
        <v>83</v>
      </c>
    </row>
    <row r="71" spans="1:9" x14ac:dyDescent="0.3">
      <c r="A71" s="36">
        <f>MONTH(TB_Vendas[[#This Row],[Data]])</f>
        <v>7</v>
      </c>
      <c r="B71" s="37">
        <v>45136</v>
      </c>
      <c r="C71" s="30" t="s">
        <v>308</v>
      </c>
      <c r="D71" s="38">
        <f>_xlfn.XLOOKUP(C71,TB_Produtos[Código],TB_Produtos[Tamanho])</f>
        <v>36</v>
      </c>
      <c r="E71" s="38" t="s">
        <v>12</v>
      </c>
      <c r="F71" s="38">
        <v>1</v>
      </c>
      <c r="G71" s="78">
        <f>_xlfn.XLOOKUP(TB_Vendas[[#This Row],[Código]],TB_Produtos[Código],TB_Produtos[Preço Unitário])</f>
        <v>129.9</v>
      </c>
      <c r="H71" s="39">
        <f>TB_Vendas[[#This Row],[Unt. Preço]]*TB_Vendas[[#This Row],[Qtd]]</f>
        <v>129.9</v>
      </c>
      <c r="I71" s="40" t="s">
        <v>86</v>
      </c>
    </row>
    <row r="72" spans="1:9" x14ac:dyDescent="0.3">
      <c r="A72" s="36">
        <f>MONTH(TB_Vendas[[#This Row],[Data]])</f>
        <v>7</v>
      </c>
      <c r="B72" s="37">
        <v>45137</v>
      </c>
      <c r="C72" s="30" t="s">
        <v>309</v>
      </c>
      <c r="D72" s="38">
        <f>_xlfn.XLOOKUP(C72,TB_Produtos[Código],TB_Produtos[Tamanho])</f>
        <v>38</v>
      </c>
      <c r="E72" s="38" t="s">
        <v>12</v>
      </c>
      <c r="F72" s="38">
        <v>1</v>
      </c>
      <c r="G72" s="78">
        <f>_xlfn.XLOOKUP(TB_Vendas[[#This Row],[Código]],TB_Produtos[Código],TB_Produtos[Preço Unitário])</f>
        <v>129.9</v>
      </c>
      <c r="H72" s="39">
        <f>TB_Vendas[[#This Row],[Unt. Preço]]*TB_Vendas[[#This Row],[Qtd]]</f>
        <v>129.9</v>
      </c>
      <c r="I72" s="40" t="s">
        <v>84</v>
      </c>
    </row>
    <row r="73" spans="1:9" x14ac:dyDescent="0.3">
      <c r="A73" s="36">
        <f>MONTH(TB_Vendas[[#This Row],[Data]])</f>
        <v>8</v>
      </c>
      <c r="B73" s="37">
        <v>45141</v>
      </c>
      <c r="C73" s="30" t="s">
        <v>310</v>
      </c>
      <c r="D73" s="38">
        <f>_xlfn.XLOOKUP(C73,TB_Produtos[Código],TB_Produtos[Tamanho])</f>
        <v>40</v>
      </c>
      <c r="E73" s="38" t="s">
        <v>13</v>
      </c>
      <c r="F73" s="38">
        <v>1</v>
      </c>
      <c r="G73" s="78">
        <f>_xlfn.XLOOKUP(TB_Vendas[[#This Row],[Código]],TB_Produtos[Código],TB_Produtos[Preço Unitário])</f>
        <v>129.9</v>
      </c>
      <c r="H73" s="39">
        <f>TB_Vendas[[#This Row],[Unt. Preço]]*TB_Vendas[[#This Row],[Qtd]]</f>
        <v>129.9</v>
      </c>
      <c r="I73" s="40" t="s">
        <v>86</v>
      </c>
    </row>
    <row r="74" spans="1:9" x14ac:dyDescent="0.3">
      <c r="A74" s="36">
        <f>MONTH(TB_Vendas[[#This Row],[Data]])</f>
        <v>8</v>
      </c>
      <c r="B74" s="37">
        <v>45143</v>
      </c>
      <c r="C74" s="30" t="s">
        <v>311</v>
      </c>
      <c r="D74" s="38">
        <f>_xlfn.XLOOKUP(C74,TB_Produtos[Código],TB_Produtos[Tamanho])</f>
        <v>42</v>
      </c>
      <c r="E74" s="38" t="s">
        <v>12</v>
      </c>
      <c r="F74" s="38">
        <v>2</v>
      </c>
      <c r="G74" s="78">
        <f>_xlfn.XLOOKUP(TB_Vendas[[#This Row],[Código]],TB_Produtos[Código],TB_Produtos[Preço Unitário])</f>
        <v>129.9</v>
      </c>
      <c r="H74" s="39">
        <f>TB_Vendas[[#This Row],[Unt. Preço]]*TB_Vendas[[#This Row],[Qtd]]</f>
        <v>259.8</v>
      </c>
      <c r="I74" s="40" t="s">
        <v>84</v>
      </c>
    </row>
    <row r="75" spans="1:9" x14ac:dyDescent="0.3">
      <c r="A75" s="36">
        <f>MONTH(TB_Vendas[[#This Row],[Data]])</f>
        <v>8</v>
      </c>
      <c r="B75" s="37">
        <v>45156</v>
      </c>
      <c r="C75" s="30" t="s">
        <v>312</v>
      </c>
      <c r="D75" s="38">
        <f>_xlfn.XLOOKUP(C75,TB_Produtos[Código],TB_Produtos[Tamanho])</f>
        <v>44</v>
      </c>
      <c r="E75" s="38" t="s">
        <v>82</v>
      </c>
      <c r="F75" s="38">
        <v>1</v>
      </c>
      <c r="G75" s="78">
        <f>_xlfn.XLOOKUP(TB_Vendas[[#This Row],[Código]],TB_Produtos[Código],TB_Produtos[Preço Unitário])</f>
        <v>129.9</v>
      </c>
      <c r="H75" s="39">
        <f>TB_Vendas[[#This Row],[Unt. Preço]]*TB_Vendas[[#This Row],[Qtd]]</f>
        <v>129.9</v>
      </c>
      <c r="I75" s="40" t="s">
        <v>83</v>
      </c>
    </row>
    <row r="76" spans="1:9" x14ac:dyDescent="0.3">
      <c r="A76" s="36">
        <f>MONTH(TB_Vendas[[#This Row],[Data]])</f>
        <v>8</v>
      </c>
      <c r="B76" s="37">
        <v>45159</v>
      </c>
      <c r="C76" s="30" t="s">
        <v>313</v>
      </c>
      <c r="D76" s="38">
        <f>_xlfn.XLOOKUP(C76,TB_Produtos[Código],TB_Produtos[Tamanho])</f>
        <v>40</v>
      </c>
      <c r="E76" s="38" t="s">
        <v>12</v>
      </c>
      <c r="F76" s="38">
        <v>2</v>
      </c>
      <c r="G76" s="78">
        <f>_xlfn.XLOOKUP(TB_Vendas[[#This Row],[Código]],TB_Produtos[Código],TB_Produtos[Preço Unitário])</f>
        <v>129.9</v>
      </c>
      <c r="H76" s="39">
        <f>TB_Vendas[[#This Row],[Unt. Preço]]*TB_Vendas[[#This Row],[Qtd]]</f>
        <v>259.8</v>
      </c>
      <c r="I76" s="40" t="s">
        <v>86</v>
      </c>
    </row>
    <row r="77" spans="1:9" x14ac:dyDescent="0.3">
      <c r="A77" s="36">
        <f>MONTH(TB_Vendas[[#This Row],[Data]])</f>
        <v>8</v>
      </c>
      <c r="B77" s="37">
        <v>45162</v>
      </c>
      <c r="C77" s="30" t="s">
        <v>314</v>
      </c>
      <c r="D77" s="38">
        <f>_xlfn.XLOOKUP(C77,TB_Produtos[Código],TB_Produtos[Tamanho])</f>
        <v>42</v>
      </c>
      <c r="E77" s="38" t="s">
        <v>82</v>
      </c>
      <c r="F77" s="38">
        <v>4</v>
      </c>
      <c r="G77" s="78">
        <f>_xlfn.XLOOKUP(TB_Vendas[[#This Row],[Código]],TB_Produtos[Código],TB_Produtos[Preço Unitário])</f>
        <v>129.9</v>
      </c>
      <c r="H77" s="39">
        <f>TB_Vendas[[#This Row],[Unt. Preço]]*TB_Vendas[[#This Row],[Qtd]]</f>
        <v>519.6</v>
      </c>
      <c r="I77" s="40" t="s">
        <v>84</v>
      </c>
    </row>
    <row r="78" spans="1:9" x14ac:dyDescent="0.3">
      <c r="A78" s="36">
        <f>MONTH(TB_Vendas[[#This Row],[Data]])</f>
        <v>8</v>
      </c>
      <c r="B78" s="37">
        <v>45163</v>
      </c>
      <c r="C78" s="30" t="s">
        <v>315</v>
      </c>
      <c r="D78" s="38">
        <f>_xlfn.XLOOKUP(C78,TB_Produtos[Código],TB_Produtos[Tamanho])</f>
        <v>38</v>
      </c>
      <c r="E78" s="38" t="s">
        <v>12</v>
      </c>
      <c r="F78" s="38">
        <v>3</v>
      </c>
      <c r="G78" s="78">
        <f>_xlfn.XLOOKUP(TB_Vendas[[#This Row],[Código]],TB_Produtos[Código],TB_Produtos[Preço Unitário])</f>
        <v>149.9</v>
      </c>
      <c r="H78" s="39">
        <f>TB_Vendas[[#This Row],[Unt. Preço]]*TB_Vendas[[#This Row],[Qtd]]</f>
        <v>449.70000000000005</v>
      </c>
      <c r="I78" s="40" t="s">
        <v>84</v>
      </c>
    </row>
    <row r="79" spans="1:9" x14ac:dyDescent="0.3">
      <c r="A79" s="36">
        <f>MONTH(TB_Vendas[[#This Row],[Data]])</f>
        <v>8</v>
      </c>
      <c r="B79" s="37">
        <v>45164</v>
      </c>
      <c r="C79" s="30" t="s">
        <v>316</v>
      </c>
      <c r="D79" s="38">
        <f>_xlfn.XLOOKUP(C79,TB_Produtos[Código],TB_Produtos[Tamanho])</f>
        <v>40</v>
      </c>
      <c r="E79" s="38" t="s">
        <v>12</v>
      </c>
      <c r="F79" s="38">
        <v>2</v>
      </c>
      <c r="G79" s="78">
        <f>_xlfn.XLOOKUP(TB_Vendas[[#This Row],[Código]],TB_Produtos[Código],TB_Produtos[Preço Unitário])</f>
        <v>149.9</v>
      </c>
      <c r="H79" s="39">
        <f>TB_Vendas[[#This Row],[Unt. Preço]]*TB_Vendas[[#This Row],[Qtd]]</f>
        <v>299.8</v>
      </c>
      <c r="I79" s="40" t="s">
        <v>83</v>
      </c>
    </row>
    <row r="80" spans="1:9" x14ac:dyDescent="0.3">
      <c r="A80" s="36">
        <f>MONTH(TB_Vendas[[#This Row],[Data]])</f>
        <v>9</v>
      </c>
      <c r="B80" s="37">
        <v>45170</v>
      </c>
      <c r="C80" s="30" t="s">
        <v>317</v>
      </c>
      <c r="D80" s="38">
        <f>_xlfn.XLOOKUP(C80,TB_Produtos[Código],TB_Produtos[Tamanho])</f>
        <v>42</v>
      </c>
      <c r="E80" s="38" t="s">
        <v>12</v>
      </c>
      <c r="F80" s="38">
        <v>3</v>
      </c>
      <c r="G80" s="78">
        <f>_xlfn.XLOOKUP(TB_Vendas[[#This Row],[Código]],TB_Produtos[Código],TB_Produtos[Preço Unitário])</f>
        <v>149.9</v>
      </c>
      <c r="H80" s="39">
        <f>TB_Vendas[[#This Row],[Unt. Preço]]*TB_Vendas[[#This Row],[Qtd]]</f>
        <v>449.70000000000005</v>
      </c>
      <c r="I80" s="40" t="s">
        <v>86</v>
      </c>
    </row>
    <row r="81" spans="1:9" x14ac:dyDescent="0.3">
      <c r="A81" s="36">
        <f>MONTH(TB_Vendas[[#This Row],[Data]])</f>
        <v>9</v>
      </c>
      <c r="B81" s="37">
        <v>45170</v>
      </c>
      <c r="C81" s="30" t="s">
        <v>318</v>
      </c>
      <c r="D81" s="38" t="str">
        <f>_xlfn.XLOOKUP(C81,TB_Produtos[Código],TB_Produtos[Tamanho])</f>
        <v>P</v>
      </c>
      <c r="E81" s="38" t="s">
        <v>82</v>
      </c>
      <c r="F81" s="38">
        <v>1</v>
      </c>
      <c r="G81" s="78">
        <f>_xlfn.XLOOKUP(TB_Vendas[[#This Row],[Código]],TB_Produtos[Código],TB_Produtos[Preço Unitário])</f>
        <v>99.9</v>
      </c>
      <c r="H81" s="39">
        <f>TB_Vendas[[#This Row],[Unt. Preço]]*TB_Vendas[[#This Row],[Qtd]]</f>
        <v>99.9</v>
      </c>
      <c r="I81" s="40" t="s">
        <v>83</v>
      </c>
    </row>
    <row r="82" spans="1:9" x14ac:dyDescent="0.3">
      <c r="A82" s="36">
        <f>MONTH(TB_Vendas[[#This Row],[Data]])</f>
        <v>9</v>
      </c>
      <c r="B82" s="37">
        <v>45171</v>
      </c>
      <c r="C82" s="30" t="s">
        <v>319</v>
      </c>
      <c r="D82" s="38" t="str">
        <f>_xlfn.XLOOKUP(C82,TB_Produtos[Código],TB_Produtos[Tamanho])</f>
        <v>M</v>
      </c>
      <c r="E82" s="38" t="s">
        <v>13</v>
      </c>
      <c r="F82" s="38">
        <v>4</v>
      </c>
      <c r="G82" s="78">
        <f>_xlfn.XLOOKUP(TB_Vendas[[#This Row],[Código]],TB_Produtos[Código],TB_Produtos[Preço Unitário])</f>
        <v>99.9</v>
      </c>
      <c r="H82" s="39">
        <f>TB_Vendas[[#This Row],[Unt. Preço]]*TB_Vendas[[#This Row],[Qtd]]</f>
        <v>399.6</v>
      </c>
      <c r="I82" s="40" t="s">
        <v>83</v>
      </c>
    </row>
    <row r="83" spans="1:9" x14ac:dyDescent="0.3">
      <c r="A83" s="36">
        <f>MONTH(TB_Vendas[[#This Row],[Data]])</f>
        <v>9</v>
      </c>
      <c r="B83" s="37">
        <v>45172</v>
      </c>
      <c r="C83" s="30" t="s">
        <v>320</v>
      </c>
      <c r="D83" s="38" t="str">
        <f>_xlfn.XLOOKUP(C83,TB_Produtos[Código],TB_Produtos[Tamanho])</f>
        <v>G</v>
      </c>
      <c r="E83" s="38" t="s">
        <v>12</v>
      </c>
      <c r="F83" s="38">
        <v>2</v>
      </c>
      <c r="G83" s="78">
        <f>_xlfn.XLOOKUP(TB_Vendas[[#This Row],[Código]],TB_Produtos[Código],TB_Produtos[Preço Unitário])</f>
        <v>99.9</v>
      </c>
      <c r="H83" s="39">
        <f>TB_Vendas[[#This Row],[Unt. Preço]]*TB_Vendas[[#This Row],[Qtd]]</f>
        <v>199.8</v>
      </c>
      <c r="I83" s="40" t="s">
        <v>86</v>
      </c>
    </row>
    <row r="84" spans="1:9" x14ac:dyDescent="0.3">
      <c r="A84" s="36">
        <f>MONTH(TB_Vendas[[#This Row],[Data]])</f>
        <v>9</v>
      </c>
      <c r="B84" s="37">
        <v>45173</v>
      </c>
      <c r="C84" s="30" t="s">
        <v>321</v>
      </c>
      <c r="D84" s="38" t="str">
        <f>_xlfn.XLOOKUP(C84,TB_Produtos[Código],TB_Produtos[Tamanho])</f>
        <v>P</v>
      </c>
      <c r="E84" s="38" t="s">
        <v>12</v>
      </c>
      <c r="F84" s="38">
        <v>3</v>
      </c>
      <c r="G84" s="78">
        <f>_xlfn.XLOOKUP(TB_Vendas[[#This Row],[Código]],TB_Produtos[Código],TB_Produtos[Preço Unitário])</f>
        <v>44.9</v>
      </c>
      <c r="H84" s="39">
        <f>TB_Vendas[[#This Row],[Unt. Preço]]*TB_Vendas[[#This Row],[Qtd]]</f>
        <v>134.69999999999999</v>
      </c>
      <c r="I84" s="40" t="s">
        <v>83</v>
      </c>
    </row>
    <row r="85" spans="1:9" x14ac:dyDescent="0.3">
      <c r="A85" s="36">
        <f>MONTH(TB_Vendas[[#This Row],[Data]])</f>
        <v>9</v>
      </c>
      <c r="B85" s="37">
        <v>45178</v>
      </c>
      <c r="C85" s="30" t="s">
        <v>322</v>
      </c>
      <c r="D85" s="38" t="str">
        <f>_xlfn.XLOOKUP(C85,TB_Produtos[Código],TB_Produtos[Tamanho])</f>
        <v>M</v>
      </c>
      <c r="E85" s="38" t="s">
        <v>12</v>
      </c>
      <c r="F85" s="38">
        <v>2</v>
      </c>
      <c r="G85" s="78">
        <f>_xlfn.XLOOKUP(TB_Vendas[[#This Row],[Código]],TB_Produtos[Código],TB_Produtos[Preço Unitário])</f>
        <v>46.9</v>
      </c>
      <c r="H85" s="39">
        <f>TB_Vendas[[#This Row],[Unt. Preço]]*TB_Vendas[[#This Row],[Qtd]]</f>
        <v>93.8</v>
      </c>
      <c r="I85" s="40" t="s">
        <v>86</v>
      </c>
    </row>
    <row r="86" spans="1:9" x14ac:dyDescent="0.3">
      <c r="A86" s="36">
        <f>MONTH(TB_Vendas[[#This Row],[Data]])</f>
        <v>9</v>
      </c>
      <c r="B86" s="37">
        <v>45183</v>
      </c>
      <c r="C86" s="30" t="s">
        <v>323</v>
      </c>
      <c r="D86" s="38" t="str">
        <f>_xlfn.XLOOKUP(C86,TB_Produtos[Código],TB_Produtos[Tamanho])</f>
        <v>G</v>
      </c>
      <c r="E86" s="38" t="s">
        <v>82</v>
      </c>
      <c r="F86" s="38">
        <v>1</v>
      </c>
      <c r="G86" s="78">
        <f>_xlfn.XLOOKUP(TB_Vendas[[#This Row],[Código]],TB_Produtos[Código],TB_Produtos[Preço Unitário])</f>
        <v>48.9</v>
      </c>
      <c r="H86" s="39">
        <f>TB_Vendas[[#This Row],[Unt. Preço]]*TB_Vendas[[#This Row],[Qtd]]</f>
        <v>48.9</v>
      </c>
      <c r="I86" s="40" t="s">
        <v>86</v>
      </c>
    </row>
    <row r="87" spans="1:9" x14ac:dyDescent="0.3">
      <c r="A87" s="36">
        <f>MONTH(TB_Vendas[[#This Row],[Data]])</f>
        <v>9</v>
      </c>
      <c r="B87" s="37">
        <v>45188</v>
      </c>
      <c r="C87" s="30" t="s">
        <v>324</v>
      </c>
      <c r="D87" s="38" t="str">
        <f>_xlfn.XLOOKUP(C87,TB_Produtos[Código],TB_Produtos[Tamanho])</f>
        <v>P</v>
      </c>
      <c r="E87" s="38" t="s">
        <v>12</v>
      </c>
      <c r="F87" s="38">
        <v>5</v>
      </c>
      <c r="G87" s="78">
        <f>_xlfn.XLOOKUP(TB_Vendas[[#This Row],[Código]],TB_Produtos[Código],TB_Produtos[Preço Unitário])</f>
        <v>44.9</v>
      </c>
      <c r="H87" s="39">
        <f>TB_Vendas[[#This Row],[Unt. Preço]]*TB_Vendas[[#This Row],[Qtd]]</f>
        <v>224.5</v>
      </c>
      <c r="I87" s="40" t="s">
        <v>86</v>
      </c>
    </row>
    <row r="88" spans="1:9" x14ac:dyDescent="0.3">
      <c r="A88" s="36">
        <f>MONTH(TB_Vendas[[#This Row],[Data]])</f>
        <v>9</v>
      </c>
      <c r="B88" s="37">
        <v>45190</v>
      </c>
      <c r="C88" s="30" t="s">
        <v>325</v>
      </c>
      <c r="D88" s="38" t="str">
        <f>_xlfn.XLOOKUP(C88,TB_Produtos[Código],TB_Produtos[Tamanho])</f>
        <v>M</v>
      </c>
      <c r="E88" s="38" t="s">
        <v>82</v>
      </c>
      <c r="F88" s="38">
        <v>2</v>
      </c>
      <c r="G88" s="78">
        <f>_xlfn.XLOOKUP(TB_Vendas[[#This Row],[Código]],TB_Produtos[Código],TB_Produtos[Preço Unitário])</f>
        <v>46.9</v>
      </c>
      <c r="H88" s="39">
        <f>TB_Vendas[[#This Row],[Unt. Preço]]*TB_Vendas[[#This Row],[Qtd]]</f>
        <v>93.8</v>
      </c>
      <c r="I88" s="40" t="s">
        <v>84</v>
      </c>
    </row>
    <row r="89" spans="1:9" x14ac:dyDescent="0.3">
      <c r="A89" s="36">
        <f>MONTH(TB_Vendas[[#This Row],[Data]])</f>
        <v>9</v>
      </c>
      <c r="B89" s="37">
        <v>45194</v>
      </c>
      <c r="C89" s="30" t="s">
        <v>326</v>
      </c>
      <c r="D89" s="38" t="str">
        <f>_xlfn.XLOOKUP(C89,TB_Produtos[Código],TB_Produtos[Tamanho])</f>
        <v>G</v>
      </c>
      <c r="E89" s="38" t="s">
        <v>12</v>
      </c>
      <c r="F89" s="38">
        <v>3</v>
      </c>
      <c r="G89" s="78">
        <f>_xlfn.XLOOKUP(TB_Vendas[[#This Row],[Código]],TB_Produtos[Código],TB_Produtos[Preço Unitário])</f>
        <v>48.9</v>
      </c>
      <c r="H89" s="39">
        <f>TB_Vendas[[#This Row],[Unt. Preço]]*TB_Vendas[[#This Row],[Qtd]]</f>
        <v>146.69999999999999</v>
      </c>
      <c r="I89" s="40" t="s">
        <v>83</v>
      </c>
    </row>
    <row r="90" spans="1:9" x14ac:dyDescent="0.3">
      <c r="A90" s="36">
        <f>MONTH(TB_Vendas[[#This Row],[Data]])</f>
        <v>10</v>
      </c>
      <c r="B90" s="37">
        <v>45201</v>
      </c>
      <c r="C90" s="30" t="s">
        <v>327</v>
      </c>
      <c r="D90" s="38" t="str">
        <f>_xlfn.XLOOKUP(C90,TB_Produtos[Código],TB_Produtos[Tamanho])</f>
        <v>M</v>
      </c>
      <c r="E90" s="38" t="s">
        <v>12</v>
      </c>
      <c r="F90" s="38">
        <v>1</v>
      </c>
      <c r="G90" s="78">
        <f>_xlfn.XLOOKUP(TB_Vendas[[#This Row],[Código]],TB_Produtos[Código],TB_Produtos[Preço Unitário])</f>
        <v>85</v>
      </c>
      <c r="H90" s="39">
        <f>TB_Vendas[[#This Row],[Unt. Preço]]*TB_Vendas[[#This Row],[Qtd]]</f>
        <v>85</v>
      </c>
      <c r="I90" s="40" t="s">
        <v>86</v>
      </c>
    </row>
    <row r="91" spans="1:9" x14ac:dyDescent="0.3">
      <c r="A91" s="36">
        <f>MONTH(TB_Vendas[[#This Row],[Data]])</f>
        <v>10</v>
      </c>
      <c r="B91" s="37">
        <v>45203</v>
      </c>
      <c r="C91" s="30" t="s">
        <v>328</v>
      </c>
      <c r="D91" s="38" t="str">
        <f>_xlfn.XLOOKUP(C91,TB_Produtos[Código],TB_Produtos[Tamanho])</f>
        <v>G</v>
      </c>
      <c r="E91" s="38" t="s">
        <v>82</v>
      </c>
      <c r="F91" s="38">
        <v>4</v>
      </c>
      <c r="G91" s="78">
        <f>_xlfn.XLOOKUP(TB_Vendas[[#This Row],[Código]],TB_Produtos[Código],TB_Produtos[Preço Unitário])</f>
        <v>119.9</v>
      </c>
      <c r="H91" s="39">
        <f>TB_Vendas[[#This Row],[Unt. Preço]]*TB_Vendas[[#This Row],[Qtd]]</f>
        <v>479.6</v>
      </c>
      <c r="I91" s="40" t="s">
        <v>86</v>
      </c>
    </row>
    <row r="92" spans="1:9" x14ac:dyDescent="0.3">
      <c r="A92" s="36">
        <f>MONTH(TB_Vendas[[#This Row],[Data]])</f>
        <v>10</v>
      </c>
      <c r="B92" s="37">
        <v>45207</v>
      </c>
      <c r="C92" s="30" t="s">
        <v>329</v>
      </c>
      <c r="D92" s="38" t="str">
        <f>_xlfn.XLOOKUP(C92,TB_Produtos[Código],TB_Produtos[Tamanho])</f>
        <v>M</v>
      </c>
      <c r="E92" s="38" t="s">
        <v>12</v>
      </c>
      <c r="F92" s="38">
        <v>3</v>
      </c>
      <c r="G92" s="78">
        <f>_xlfn.XLOOKUP(TB_Vendas[[#This Row],[Código]],TB_Produtos[Código],TB_Produtos[Preço Unitário])</f>
        <v>159.9</v>
      </c>
      <c r="H92" s="39">
        <f>TB_Vendas[[#This Row],[Unt. Preço]]*TB_Vendas[[#This Row],[Qtd]]</f>
        <v>479.70000000000005</v>
      </c>
      <c r="I92" s="40" t="s">
        <v>83</v>
      </c>
    </row>
    <row r="93" spans="1:9" x14ac:dyDescent="0.3">
      <c r="A93" s="36">
        <f>MONTH(TB_Vendas[[#This Row],[Data]])</f>
        <v>10</v>
      </c>
      <c r="B93" s="37">
        <v>45210</v>
      </c>
      <c r="C93" s="30" t="s">
        <v>330</v>
      </c>
      <c r="D93" s="38" t="str">
        <f>_xlfn.XLOOKUP(C93,TB_Produtos[Código],TB_Produtos[Tamanho])</f>
        <v>M</v>
      </c>
      <c r="E93" s="38" t="s">
        <v>12</v>
      </c>
      <c r="F93" s="38">
        <v>2</v>
      </c>
      <c r="G93" s="78">
        <f>_xlfn.XLOOKUP(TB_Vendas[[#This Row],[Código]],TB_Produtos[Código],TB_Produtos[Preço Unitário])</f>
        <v>169.9</v>
      </c>
      <c r="H93" s="39">
        <f>TB_Vendas[[#This Row],[Unt. Preço]]*TB_Vendas[[#This Row],[Qtd]]</f>
        <v>339.8</v>
      </c>
      <c r="I93" s="40" t="s">
        <v>84</v>
      </c>
    </row>
    <row r="94" spans="1:9" x14ac:dyDescent="0.3">
      <c r="A94" s="36">
        <f>MONTH(TB_Vendas[[#This Row],[Data]])</f>
        <v>10</v>
      </c>
      <c r="B94" s="37">
        <v>45211</v>
      </c>
      <c r="C94" s="30" t="s">
        <v>331</v>
      </c>
      <c r="D94" s="38">
        <f>_xlfn.XLOOKUP(C94,TB_Produtos[Código],TB_Produtos[Tamanho])</f>
        <v>42</v>
      </c>
      <c r="E94" s="38" t="s">
        <v>12</v>
      </c>
      <c r="F94" s="38">
        <v>1</v>
      </c>
      <c r="G94" s="78">
        <f>_xlfn.XLOOKUP(TB_Vendas[[#This Row],[Código]],TB_Produtos[Código],TB_Produtos[Preço Unitário])</f>
        <v>149.9</v>
      </c>
      <c r="H94" s="39">
        <f>TB_Vendas[[#This Row],[Unt. Preço]]*TB_Vendas[[#This Row],[Qtd]]</f>
        <v>149.9</v>
      </c>
      <c r="I94" s="40" t="s">
        <v>86</v>
      </c>
    </row>
    <row r="95" spans="1:9" x14ac:dyDescent="0.3">
      <c r="A95" s="36">
        <f>MONTH(TB_Vendas[[#This Row],[Data]])</f>
        <v>10</v>
      </c>
      <c r="B95" s="37">
        <v>45212</v>
      </c>
      <c r="C95" s="30" t="s">
        <v>332</v>
      </c>
      <c r="D95" s="38">
        <f>_xlfn.XLOOKUP(C95,TB_Produtos[Código],TB_Produtos[Tamanho])</f>
        <v>44</v>
      </c>
      <c r="E95" s="38" t="s">
        <v>12</v>
      </c>
      <c r="F95" s="38">
        <v>3</v>
      </c>
      <c r="G95" s="78">
        <f>_xlfn.XLOOKUP(TB_Vendas[[#This Row],[Código]],TB_Produtos[Código],TB_Produtos[Preço Unitário])</f>
        <v>149.9</v>
      </c>
      <c r="H95" s="39">
        <f>TB_Vendas[[#This Row],[Unt. Preço]]*TB_Vendas[[#This Row],[Qtd]]</f>
        <v>449.70000000000005</v>
      </c>
      <c r="I95" s="40" t="s">
        <v>86</v>
      </c>
    </row>
    <row r="96" spans="1:9" x14ac:dyDescent="0.3">
      <c r="A96" s="36">
        <f>MONTH(TB_Vendas[[#This Row],[Data]])</f>
        <v>10</v>
      </c>
      <c r="B96" s="37">
        <v>45214</v>
      </c>
      <c r="C96" s="30" t="s">
        <v>333</v>
      </c>
      <c r="D96" s="38">
        <f>_xlfn.XLOOKUP(C96,TB_Produtos[Código],TB_Produtos[Tamanho])</f>
        <v>44</v>
      </c>
      <c r="E96" s="38" t="s">
        <v>12</v>
      </c>
      <c r="F96" s="38">
        <v>4</v>
      </c>
      <c r="G96" s="78">
        <f>_xlfn.XLOOKUP(TB_Vendas[[#This Row],[Código]],TB_Produtos[Código],TB_Produtos[Preço Unitário])</f>
        <v>179.9</v>
      </c>
      <c r="H96" s="39">
        <f>TB_Vendas[[#This Row],[Unt. Preço]]*TB_Vendas[[#This Row],[Qtd]]</f>
        <v>719.6</v>
      </c>
      <c r="I96" s="40" t="s">
        <v>83</v>
      </c>
    </row>
    <row r="97" spans="1:9" x14ac:dyDescent="0.3">
      <c r="A97" s="36">
        <f>MONTH(TB_Vendas[[#This Row],[Data]])</f>
        <v>10</v>
      </c>
      <c r="B97" s="37">
        <v>45221</v>
      </c>
      <c r="C97" s="30" t="s">
        <v>334</v>
      </c>
      <c r="D97" s="38">
        <f>_xlfn.XLOOKUP(C97,TB_Produtos[Código],TB_Produtos[Tamanho])</f>
        <v>40</v>
      </c>
      <c r="E97" s="38" t="s">
        <v>12</v>
      </c>
      <c r="F97" s="38">
        <v>2</v>
      </c>
      <c r="G97" s="78">
        <f>_xlfn.XLOOKUP(TB_Vendas[[#This Row],[Código]],TB_Produtos[Código],TB_Produtos[Preço Unitário])</f>
        <v>159.9</v>
      </c>
      <c r="H97" s="39">
        <f>TB_Vendas[[#This Row],[Unt. Preço]]*TB_Vendas[[#This Row],[Qtd]]</f>
        <v>319.8</v>
      </c>
      <c r="I97" s="40" t="s">
        <v>83</v>
      </c>
    </row>
    <row r="98" spans="1:9" x14ac:dyDescent="0.3">
      <c r="A98" s="36">
        <f>MONTH(TB_Vendas[[#This Row],[Data]])</f>
        <v>10</v>
      </c>
      <c r="B98" s="37">
        <v>45222</v>
      </c>
      <c r="C98" s="30" t="s">
        <v>335</v>
      </c>
      <c r="D98" s="38" t="str">
        <f>_xlfn.XLOOKUP(C98,TB_Produtos[Código],TB_Produtos[Tamanho])</f>
        <v>P</v>
      </c>
      <c r="E98" s="38" t="s">
        <v>12</v>
      </c>
      <c r="F98" s="38">
        <v>3</v>
      </c>
      <c r="G98" s="78">
        <f>_xlfn.XLOOKUP(TB_Vendas[[#This Row],[Código]],TB_Produtos[Código],TB_Produtos[Preço Unitário])</f>
        <v>179.9</v>
      </c>
      <c r="H98" s="39">
        <f>TB_Vendas[[#This Row],[Unt. Preço]]*TB_Vendas[[#This Row],[Qtd]]</f>
        <v>539.70000000000005</v>
      </c>
      <c r="I98" s="40" t="s">
        <v>86</v>
      </c>
    </row>
    <row r="99" spans="1:9" x14ac:dyDescent="0.3">
      <c r="A99" s="36">
        <f>MONTH(TB_Vendas[[#This Row],[Data]])</f>
        <v>10</v>
      </c>
      <c r="B99" s="37">
        <v>45225</v>
      </c>
      <c r="C99" s="30" t="s">
        <v>336</v>
      </c>
      <c r="D99" s="38" t="str">
        <f>_xlfn.XLOOKUP(C99,TB_Produtos[Código],TB_Produtos[Tamanho])</f>
        <v>P</v>
      </c>
      <c r="E99" s="38" t="s">
        <v>12</v>
      </c>
      <c r="F99" s="38">
        <v>1</v>
      </c>
      <c r="G99" s="78">
        <f>_xlfn.XLOOKUP(TB_Vendas[[#This Row],[Código]],TB_Produtos[Código],TB_Produtos[Preço Unitário])</f>
        <v>39.9</v>
      </c>
      <c r="H99" s="39">
        <f>TB_Vendas[[#This Row],[Unt. Preço]]*TB_Vendas[[#This Row],[Qtd]]</f>
        <v>39.9</v>
      </c>
      <c r="I99" s="40" t="s">
        <v>84</v>
      </c>
    </row>
    <row r="100" spans="1:9" x14ac:dyDescent="0.3">
      <c r="A100" s="36">
        <f>MONTH(TB_Vendas[[#This Row],[Data]])</f>
        <v>10</v>
      </c>
      <c r="B100" s="37">
        <v>45226</v>
      </c>
      <c r="C100" s="30" t="s">
        <v>337</v>
      </c>
      <c r="D100" s="38" t="str">
        <f>_xlfn.XLOOKUP(C100,TB_Produtos[Código],TB_Produtos[Tamanho])</f>
        <v>M</v>
      </c>
      <c r="E100" s="38" t="s">
        <v>12</v>
      </c>
      <c r="F100" s="38">
        <v>4</v>
      </c>
      <c r="G100" s="78">
        <f>_xlfn.XLOOKUP(TB_Vendas[[#This Row],[Código]],TB_Produtos[Código],TB_Produtos[Preço Unitário])</f>
        <v>45</v>
      </c>
      <c r="H100" s="39">
        <f>TB_Vendas[[#This Row],[Unt. Preço]]*TB_Vendas[[#This Row],[Qtd]]</f>
        <v>180</v>
      </c>
      <c r="I100" s="40" t="s">
        <v>84</v>
      </c>
    </row>
    <row r="101" spans="1:9" x14ac:dyDescent="0.3">
      <c r="A101" s="36">
        <f>MONTH(TB_Vendas[[#This Row],[Data]])</f>
        <v>11</v>
      </c>
      <c r="B101" s="37">
        <v>45238</v>
      </c>
      <c r="C101" s="30" t="s">
        <v>338</v>
      </c>
      <c r="D101" s="38" t="str">
        <f>_xlfn.XLOOKUP(C101,TB_Produtos[Código],TB_Produtos[Tamanho])</f>
        <v>M</v>
      </c>
      <c r="E101" s="38" t="s">
        <v>12</v>
      </c>
      <c r="F101" s="38">
        <v>2</v>
      </c>
      <c r="G101" s="78">
        <f>_xlfn.XLOOKUP(TB_Vendas[[#This Row],[Código]],TB_Produtos[Código],TB_Produtos[Preço Unitário])</f>
        <v>59.9</v>
      </c>
      <c r="H101" s="39">
        <f>TB_Vendas[[#This Row],[Unt. Preço]]*TB_Vendas[[#This Row],[Qtd]]</f>
        <v>119.8</v>
      </c>
      <c r="I101" s="40" t="s">
        <v>83</v>
      </c>
    </row>
    <row r="102" spans="1:9" x14ac:dyDescent="0.3">
      <c r="A102" s="36">
        <f>MONTH(TB_Vendas[[#This Row],[Data]])</f>
        <v>11</v>
      </c>
      <c r="B102" s="37">
        <v>45239</v>
      </c>
      <c r="C102" s="30" t="s">
        <v>339</v>
      </c>
      <c r="D102" s="38" t="str">
        <f>_xlfn.XLOOKUP(C102,TB_Produtos[Código],TB_Produtos[Tamanho])</f>
        <v>M</v>
      </c>
      <c r="E102" s="38" t="s">
        <v>12</v>
      </c>
      <c r="F102" s="38">
        <v>3</v>
      </c>
      <c r="G102" s="78">
        <f>_xlfn.XLOOKUP(TB_Vendas[[#This Row],[Código]],TB_Produtos[Código],TB_Produtos[Preço Unitário])</f>
        <v>69.900000000000006</v>
      </c>
      <c r="H102" s="39">
        <f>TB_Vendas[[#This Row],[Unt. Preço]]*TB_Vendas[[#This Row],[Qtd]]</f>
        <v>209.70000000000002</v>
      </c>
      <c r="I102" s="40" t="s">
        <v>83</v>
      </c>
    </row>
    <row r="103" spans="1:9" x14ac:dyDescent="0.3">
      <c r="A103" s="36">
        <f>MONTH(TB_Vendas[[#This Row],[Data]])</f>
        <v>11</v>
      </c>
      <c r="B103" s="37">
        <v>45240</v>
      </c>
      <c r="C103" s="30" t="s">
        <v>340</v>
      </c>
      <c r="D103" s="38" t="str">
        <f>_xlfn.XLOOKUP(C103,TB_Produtos[Código],TB_Produtos[Tamanho])</f>
        <v>G</v>
      </c>
      <c r="E103" s="38" t="s">
        <v>82</v>
      </c>
      <c r="F103" s="38">
        <v>1</v>
      </c>
      <c r="G103" s="78">
        <f>_xlfn.XLOOKUP(TB_Vendas[[#This Row],[Código]],TB_Produtos[Código],TB_Produtos[Preço Unitário])</f>
        <v>129.9</v>
      </c>
      <c r="H103" s="39">
        <f>TB_Vendas[[#This Row],[Unt. Preço]]*TB_Vendas[[#This Row],[Qtd]]</f>
        <v>129.9</v>
      </c>
      <c r="I103" s="40" t="s">
        <v>86</v>
      </c>
    </row>
    <row r="104" spans="1:9" x14ac:dyDescent="0.3">
      <c r="A104" s="36">
        <f>MONTH(TB_Vendas[[#This Row],[Data]])</f>
        <v>11</v>
      </c>
      <c r="B104" s="37">
        <v>45241</v>
      </c>
      <c r="C104" s="30" t="s">
        <v>341</v>
      </c>
      <c r="D104" s="38" t="str">
        <f>_xlfn.XLOOKUP(C104,TB_Produtos[Código],TB_Produtos[Tamanho])</f>
        <v>M</v>
      </c>
      <c r="E104" s="38" t="s">
        <v>82</v>
      </c>
      <c r="F104" s="38">
        <v>2</v>
      </c>
      <c r="G104" s="78">
        <f>_xlfn.XLOOKUP(TB_Vendas[[#This Row],[Código]],TB_Produtos[Código],TB_Produtos[Preço Unitário])</f>
        <v>139.9</v>
      </c>
      <c r="H104" s="39">
        <f>TB_Vendas[[#This Row],[Unt. Preço]]*TB_Vendas[[#This Row],[Qtd]]</f>
        <v>279.8</v>
      </c>
      <c r="I104" s="40" t="s">
        <v>84</v>
      </c>
    </row>
    <row r="105" spans="1:9" x14ac:dyDescent="0.3">
      <c r="A105" s="36">
        <f>MONTH(TB_Vendas[[#This Row],[Data]])</f>
        <v>11</v>
      </c>
      <c r="B105" s="37">
        <v>45242</v>
      </c>
      <c r="C105" s="30" t="s">
        <v>342</v>
      </c>
      <c r="D105" s="38" t="str">
        <f>_xlfn.XLOOKUP(C105,TB_Produtos[Código],TB_Produtos[Tamanho])</f>
        <v>G</v>
      </c>
      <c r="E105" s="38" t="s">
        <v>12</v>
      </c>
      <c r="F105" s="38">
        <v>3</v>
      </c>
      <c r="G105" s="78">
        <f>_xlfn.XLOOKUP(TB_Vendas[[#This Row],[Código]],TB_Produtos[Código],TB_Produtos[Preço Unitário])</f>
        <v>139.9</v>
      </c>
      <c r="H105" s="39">
        <f>TB_Vendas[[#This Row],[Unt. Preço]]*TB_Vendas[[#This Row],[Qtd]]</f>
        <v>419.70000000000005</v>
      </c>
      <c r="I105" s="40" t="s">
        <v>83</v>
      </c>
    </row>
    <row r="106" spans="1:9" x14ac:dyDescent="0.3">
      <c r="A106" s="36">
        <f>MONTH(TB_Vendas[[#This Row],[Data]])</f>
        <v>11</v>
      </c>
      <c r="B106" s="37">
        <v>45245</v>
      </c>
      <c r="C106" s="30" t="s">
        <v>343</v>
      </c>
      <c r="D106" s="38" t="str">
        <f>_xlfn.XLOOKUP(C106,TB_Produtos[Código],TB_Produtos[Tamanho])</f>
        <v>M</v>
      </c>
      <c r="E106" s="38" t="s">
        <v>13</v>
      </c>
      <c r="F106" s="38">
        <v>2</v>
      </c>
      <c r="G106" s="78">
        <f>_xlfn.XLOOKUP(TB_Vendas[[#This Row],[Código]],TB_Produtos[Código],TB_Produtos[Preço Unitário])</f>
        <v>99.9</v>
      </c>
      <c r="H106" s="39">
        <f>TB_Vendas[[#This Row],[Unt. Preço]]*TB_Vendas[[#This Row],[Qtd]]</f>
        <v>199.8</v>
      </c>
      <c r="I106" s="40" t="s">
        <v>84</v>
      </c>
    </row>
    <row r="107" spans="1:9" x14ac:dyDescent="0.3">
      <c r="A107" s="36">
        <f>MONTH(TB_Vendas[[#This Row],[Data]])</f>
        <v>11</v>
      </c>
      <c r="B107" s="37">
        <v>45248</v>
      </c>
      <c r="C107" s="30" t="s">
        <v>344</v>
      </c>
      <c r="D107" s="38" t="str">
        <f>_xlfn.XLOOKUP(C107,TB_Produtos[Código],TB_Produtos[Tamanho])</f>
        <v>P</v>
      </c>
      <c r="E107" s="38" t="s">
        <v>12</v>
      </c>
      <c r="F107" s="38">
        <v>4</v>
      </c>
      <c r="G107" s="78">
        <f>_xlfn.XLOOKUP(TB_Vendas[[#This Row],[Código]],TB_Produtos[Código],TB_Produtos[Preço Unitário])</f>
        <v>95</v>
      </c>
      <c r="H107" s="39">
        <f>TB_Vendas[[#This Row],[Unt. Preço]]*TB_Vendas[[#This Row],[Qtd]]</f>
        <v>380</v>
      </c>
      <c r="I107" s="40" t="s">
        <v>86</v>
      </c>
    </row>
    <row r="108" spans="1:9" x14ac:dyDescent="0.3">
      <c r="A108" s="36">
        <f>MONTH(TB_Vendas[[#This Row],[Data]])</f>
        <v>12</v>
      </c>
      <c r="B108" s="37">
        <v>45267</v>
      </c>
      <c r="C108" s="30" t="s">
        <v>345</v>
      </c>
      <c r="D108" s="38" t="str">
        <f>_xlfn.XLOOKUP(C108,TB_Produtos[Código],TB_Produtos[Tamanho])</f>
        <v>M</v>
      </c>
      <c r="E108" s="38" t="s">
        <v>82</v>
      </c>
      <c r="F108" s="38">
        <v>3</v>
      </c>
      <c r="G108" s="78">
        <f>_xlfn.XLOOKUP(TB_Vendas[[#This Row],[Código]],TB_Produtos[Código],TB_Produtos[Preço Unitário])</f>
        <v>95</v>
      </c>
      <c r="H108" s="39">
        <f>TB_Vendas[[#This Row],[Unt. Preço]]*TB_Vendas[[#This Row],[Qtd]]</f>
        <v>285</v>
      </c>
      <c r="I108" s="40" t="s">
        <v>83</v>
      </c>
    </row>
    <row r="109" spans="1:9" x14ac:dyDescent="0.3">
      <c r="A109" s="36">
        <f>MONTH(TB_Vendas[[#This Row],[Data]])</f>
        <v>12</v>
      </c>
      <c r="B109" s="37">
        <v>45267</v>
      </c>
      <c r="C109" s="30" t="s">
        <v>346</v>
      </c>
      <c r="D109" s="38" t="str">
        <f>_xlfn.XLOOKUP(C109,TB_Produtos[Código],TB_Produtos[Tamanho])</f>
        <v>G</v>
      </c>
      <c r="E109" s="38" t="s">
        <v>12</v>
      </c>
      <c r="F109" s="38">
        <v>2</v>
      </c>
      <c r="G109" s="78">
        <f>_xlfn.XLOOKUP(TB_Vendas[[#This Row],[Código]],TB_Produtos[Código],TB_Produtos[Preço Unitário])</f>
        <v>95</v>
      </c>
      <c r="H109" s="39">
        <f>TB_Vendas[[#This Row],[Unt. Preço]]*TB_Vendas[[#This Row],[Qtd]]</f>
        <v>190</v>
      </c>
      <c r="I109" s="40" t="s">
        <v>86</v>
      </c>
    </row>
    <row r="110" spans="1:9" x14ac:dyDescent="0.3">
      <c r="A110" s="36">
        <f>MONTH(TB_Vendas[[#This Row],[Data]])</f>
        <v>12</v>
      </c>
      <c r="B110" s="37">
        <v>45269</v>
      </c>
      <c r="C110" s="30" t="s">
        <v>347</v>
      </c>
      <c r="D110" s="38" t="str">
        <f>_xlfn.XLOOKUP(C110,TB_Produtos[Código],TB_Produtos[Tamanho])</f>
        <v>P</v>
      </c>
      <c r="E110" s="38" t="s">
        <v>13</v>
      </c>
      <c r="F110" s="38">
        <v>2</v>
      </c>
      <c r="G110" s="78">
        <f>_xlfn.XLOOKUP(TB_Vendas[[#This Row],[Código]],TB_Produtos[Código],TB_Produtos[Preço Unitário])</f>
        <v>89.9</v>
      </c>
      <c r="H110" s="39">
        <f>TB_Vendas[[#This Row],[Unt. Preço]]*TB_Vendas[[#This Row],[Qtd]]</f>
        <v>179.8</v>
      </c>
      <c r="I110" s="40" t="s">
        <v>86</v>
      </c>
    </row>
    <row r="111" spans="1:9" x14ac:dyDescent="0.3">
      <c r="A111" s="36">
        <f>MONTH(TB_Vendas[[#This Row],[Data]])</f>
        <v>12</v>
      </c>
      <c r="B111" s="37">
        <v>45269</v>
      </c>
      <c r="C111" s="30" t="s">
        <v>348</v>
      </c>
      <c r="D111" s="38" t="str">
        <f>_xlfn.XLOOKUP(C111,TB_Produtos[Código],TB_Produtos[Tamanho])</f>
        <v>M</v>
      </c>
      <c r="E111" s="38" t="s">
        <v>12</v>
      </c>
      <c r="F111" s="38">
        <v>2</v>
      </c>
      <c r="G111" s="78">
        <f>_xlfn.XLOOKUP(TB_Vendas[[#This Row],[Código]],TB_Produtos[Código],TB_Produtos[Preço Unitário])</f>
        <v>89.9</v>
      </c>
      <c r="H111" s="39">
        <f>TB_Vendas[[#This Row],[Unt. Preço]]*TB_Vendas[[#This Row],[Qtd]]</f>
        <v>179.8</v>
      </c>
      <c r="I111" s="40" t="s">
        <v>84</v>
      </c>
    </row>
    <row r="112" spans="1:9" x14ac:dyDescent="0.3">
      <c r="A112" s="36">
        <f>MONTH(TB_Vendas[[#This Row],[Data]])</f>
        <v>12</v>
      </c>
      <c r="B112" s="37">
        <v>45271</v>
      </c>
      <c r="C112" s="30" t="s">
        <v>349</v>
      </c>
      <c r="D112" s="38" t="str">
        <f>_xlfn.XLOOKUP(C112,TB_Produtos[Código],TB_Produtos[Tamanho])</f>
        <v>G</v>
      </c>
      <c r="E112" s="38" t="s">
        <v>13</v>
      </c>
      <c r="F112" s="38">
        <v>1</v>
      </c>
      <c r="G112" s="78">
        <f>_xlfn.XLOOKUP(TB_Vendas[[#This Row],[Código]],TB_Produtos[Código],TB_Produtos[Preço Unitário])</f>
        <v>89.9</v>
      </c>
      <c r="H112" s="39">
        <f>TB_Vendas[[#This Row],[Unt. Preço]]*TB_Vendas[[#This Row],[Qtd]]</f>
        <v>89.9</v>
      </c>
      <c r="I112" s="40" t="s">
        <v>83</v>
      </c>
    </row>
    <row r="113" spans="1:9" x14ac:dyDescent="0.3">
      <c r="A113" s="36">
        <f>MONTH(TB_Vendas[[#This Row],[Data]])</f>
        <v>12</v>
      </c>
      <c r="B113" s="37">
        <v>45273</v>
      </c>
      <c r="C113" s="30" t="s">
        <v>350</v>
      </c>
      <c r="D113" s="38" t="str">
        <f>_xlfn.XLOOKUP(C113,TB_Produtos[Código],TB_Produtos[Tamanho])</f>
        <v>G</v>
      </c>
      <c r="E113" s="38" t="s">
        <v>12</v>
      </c>
      <c r="F113" s="38">
        <v>1</v>
      </c>
      <c r="G113" s="78">
        <f>_xlfn.XLOOKUP(TB_Vendas[[#This Row],[Código]],TB_Produtos[Código],TB_Produtos[Preço Unitário])</f>
        <v>119.9</v>
      </c>
      <c r="H113" s="39">
        <f>TB_Vendas[[#This Row],[Unt. Preço]]*TB_Vendas[[#This Row],[Qtd]]</f>
        <v>119.9</v>
      </c>
      <c r="I113" s="40" t="s">
        <v>83</v>
      </c>
    </row>
    <row r="114" spans="1:9" x14ac:dyDescent="0.3">
      <c r="A114" s="36">
        <f>MONTH(TB_Vendas[[#This Row],[Data]])</f>
        <v>12</v>
      </c>
      <c r="B114" s="37">
        <v>45276</v>
      </c>
      <c r="C114" s="30" t="s">
        <v>351</v>
      </c>
      <c r="D114" s="38" t="str">
        <f>_xlfn.XLOOKUP(C114,TB_Produtos[Código],TB_Produtos[Tamanho])</f>
        <v>P</v>
      </c>
      <c r="E114" s="38" t="s">
        <v>12</v>
      </c>
      <c r="F114" s="38">
        <v>3</v>
      </c>
      <c r="G114" s="78">
        <f>_xlfn.XLOOKUP(TB_Vendas[[#This Row],[Código]],TB_Produtos[Código],TB_Produtos[Preço Unitário])</f>
        <v>119.9</v>
      </c>
      <c r="H114" s="39">
        <f>TB_Vendas[[#This Row],[Unt. Preço]]*TB_Vendas[[#This Row],[Qtd]]</f>
        <v>359.70000000000005</v>
      </c>
      <c r="I114" s="40" t="s">
        <v>83</v>
      </c>
    </row>
    <row r="115" spans="1:9" x14ac:dyDescent="0.3">
      <c r="A115" s="36">
        <f>MONTH(TB_Vendas[[#This Row],[Data]])</f>
        <v>12</v>
      </c>
      <c r="B115" s="37">
        <v>45276</v>
      </c>
      <c r="C115" s="30" t="s">
        <v>352</v>
      </c>
      <c r="D115" s="38" t="str">
        <f>_xlfn.XLOOKUP(C115,TB_Produtos[Código],TB_Produtos[Tamanho])</f>
        <v>M</v>
      </c>
      <c r="E115" s="38" t="s">
        <v>12</v>
      </c>
      <c r="F115" s="38">
        <v>4</v>
      </c>
      <c r="G115" s="78">
        <f>_xlfn.XLOOKUP(TB_Vendas[[#This Row],[Código]],TB_Produtos[Código],TB_Produtos[Preço Unitário])</f>
        <v>119.9</v>
      </c>
      <c r="H115" s="39">
        <f>TB_Vendas[[#This Row],[Unt. Preço]]*TB_Vendas[[#This Row],[Qtd]]</f>
        <v>479.6</v>
      </c>
      <c r="I115" s="40" t="s">
        <v>86</v>
      </c>
    </row>
    <row r="116" spans="1:9" x14ac:dyDescent="0.3">
      <c r="A116" s="36">
        <f>MONTH(TB_Vendas[[#This Row],[Data]])</f>
        <v>12</v>
      </c>
      <c r="B116" s="37">
        <v>45277</v>
      </c>
      <c r="C116" s="30" t="s">
        <v>353</v>
      </c>
      <c r="D116" s="38" t="str">
        <f>_xlfn.XLOOKUP(C116,TB_Produtos[Código],TB_Produtos[Tamanho])</f>
        <v>G</v>
      </c>
      <c r="E116" s="38" t="s">
        <v>13</v>
      </c>
      <c r="F116" s="38">
        <v>2</v>
      </c>
      <c r="G116" s="78">
        <f>_xlfn.XLOOKUP(TB_Vendas[[#This Row],[Código]],TB_Produtos[Código],TB_Produtos[Preço Unitário])</f>
        <v>109.9</v>
      </c>
      <c r="H116" s="39">
        <f>TB_Vendas[[#This Row],[Unt. Preço]]*TB_Vendas[[#This Row],[Qtd]]</f>
        <v>219.8</v>
      </c>
      <c r="I116" s="40" t="s">
        <v>86</v>
      </c>
    </row>
    <row r="117" spans="1:9" x14ac:dyDescent="0.3">
      <c r="A117" s="36">
        <f>MONTH(TB_Vendas[[#This Row],[Data]])</f>
        <v>12</v>
      </c>
      <c r="B117" s="37">
        <v>45280</v>
      </c>
      <c r="C117" s="30" t="s">
        <v>354</v>
      </c>
      <c r="D117" s="38" t="str">
        <f>_xlfn.XLOOKUP(C117,TB_Produtos[Código],TB_Produtos[Tamanho])</f>
        <v>P</v>
      </c>
      <c r="E117" s="38" t="s">
        <v>12</v>
      </c>
      <c r="F117" s="38">
        <v>1</v>
      </c>
      <c r="G117" s="78">
        <f>_xlfn.XLOOKUP(TB_Vendas[[#This Row],[Código]],TB_Produtos[Código],TB_Produtos[Preço Unitário])</f>
        <v>49.9</v>
      </c>
      <c r="H117" s="39">
        <f>TB_Vendas[[#This Row],[Unt. Preço]]*TB_Vendas[[#This Row],[Qtd]]</f>
        <v>49.9</v>
      </c>
      <c r="I117" s="40" t="s">
        <v>84</v>
      </c>
    </row>
    <row r="118" spans="1:9" x14ac:dyDescent="0.3">
      <c r="A118" s="36">
        <f>MONTH(TB_Vendas[[#This Row],[Data]])</f>
        <v>12</v>
      </c>
      <c r="B118" s="37">
        <v>45288</v>
      </c>
      <c r="C118" s="30" t="s">
        <v>355</v>
      </c>
      <c r="D118" s="38" t="str">
        <f>_xlfn.XLOOKUP(C118,TB_Produtos[Código],TB_Produtos[Tamanho])</f>
        <v>M</v>
      </c>
      <c r="E118" s="38" t="s">
        <v>12</v>
      </c>
      <c r="F118" s="38">
        <v>5</v>
      </c>
      <c r="G118" s="78">
        <f>_xlfn.XLOOKUP(TB_Vendas[[#This Row],[Código]],TB_Produtos[Código],TB_Produtos[Preço Unitário])</f>
        <v>49.9</v>
      </c>
      <c r="H118" s="39">
        <f>TB_Vendas[[#This Row],[Unt. Preço]]*TB_Vendas[[#This Row],[Qtd]]</f>
        <v>249.5</v>
      </c>
      <c r="I118" s="40" t="s">
        <v>84</v>
      </c>
    </row>
    <row r="119" spans="1:9" x14ac:dyDescent="0.3">
      <c r="A119" s="36">
        <f>MONTH(TB_Vendas[[#This Row],[Data]])</f>
        <v>12</v>
      </c>
      <c r="B119" s="37">
        <v>45288</v>
      </c>
      <c r="C119" s="30" t="s">
        <v>356</v>
      </c>
      <c r="D119" s="38" t="str">
        <f>_xlfn.XLOOKUP(C119,TB_Produtos[Código],TB_Produtos[Tamanho])</f>
        <v>P</v>
      </c>
      <c r="E119" s="38" t="s">
        <v>12</v>
      </c>
      <c r="F119" s="38">
        <v>2</v>
      </c>
      <c r="G119" s="78">
        <f>_xlfn.XLOOKUP(TB_Vendas[[#This Row],[Código]],TB_Produtos[Código],TB_Produtos[Preço Unitário])</f>
        <v>49.9</v>
      </c>
      <c r="H119" s="39">
        <f>TB_Vendas[[#This Row],[Unt. Preço]]*TB_Vendas[[#This Row],[Qtd]]</f>
        <v>99.8</v>
      </c>
      <c r="I119" s="40" t="s">
        <v>84</v>
      </c>
    </row>
    <row r="120" spans="1:9" x14ac:dyDescent="0.3">
      <c r="A120" s="41">
        <f>MONTH(TB_Vendas[[#This Row],[Data]])</f>
        <v>12</v>
      </c>
      <c r="B120" s="42">
        <v>45289</v>
      </c>
      <c r="C120" s="30" t="s">
        <v>357</v>
      </c>
      <c r="D120" s="43" t="str">
        <f>_xlfn.XLOOKUP(C120,TB_Produtos[Código],TB_Produtos[Tamanho])</f>
        <v>M</v>
      </c>
      <c r="E120" s="43" t="s">
        <v>13</v>
      </c>
      <c r="F120" s="43">
        <v>3</v>
      </c>
      <c r="G120" s="79">
        <f>_xlfn.XLOOKUP(TB_Vendas[[#This Row],[Código]],TB_Produtos[Código],TB_Produtos[Preço Unitário])</f>
        <v>49.9</v>
      </c>
      <c r="H120" s="44">
        <f>TB_Vendas[[#This Row],[Unt. Preço]]*TB_Vendas[[#This Row],[Qtd]]</f>
        <v>149.69999999999999</v>
      </c>
      <c r="I120" s="45" t="s">
        <v>86</v>
      </c>
    </row>
  </sheetData>
  <mergeCells count="1">
    <mergeCell ref="A1:I1"/>
  </mergeCells>
  <phoneticPr fontId="11" type="noConversion"/>
  <conditionalFormatting sqref="F2:G2">
    <cfRule type="cellIs" dxfId="0" priority="3" operator="equal">
      <formula>0</formula>
    </cfRule>
  </conditionalFormatting>
  <conditionalFormatting sqref="I3:I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1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90DB-DB0D-4605-B68C-87F1F9E3A207}">
  <dimension ref="A1:N14"/>
  <sheetViews>
    <sheetView zoomScale="150" zoomScaleNormal="150" workbookViewId="0">
      <selection activeCell="D21" sqref="D21"/>
    </sheetView>
  </sheetViews>
  <sheetFormatPr defaultRowHeight="14.4" x14ac:dyDescent="0.3"/>
  <cols>
    <col min="1" max="1" width="11.6640625" customWidth="1"/>
    <col min="2" max="3" width="11.6640625" style="58" customWidth="1"/>
    <col min="4" max="4" width="13" bestFit="1" customWidth="1"/>
    <col min="5" max="5" width="1.6640625" customWidth="1"/>
    <col min="6" max="6" width="10.5546875" bestFit="1" customWidth="1"/>
    <col min="8" max="8" width="14.109375" customWidth="1"/>
    <col min="10" max="10" width="1.77734375" customWidth="1"/>
    <col min="11" max="11" width="12.21875" customWidth="1"/>
    <col min="12" max="12" width="12.88671875" style="52" bestFit="1" customWidth="1"/>
    <col min="13" max="13" width="12.21875" style="52" customWidth="1"/>
    <col min="14" max="14" width="14.5546875" customWidth="1"/>
  </cols>
  <sheetData>
    <row r="1" spans="1:14" ht="6.6" customHeight="1" thickBot="1" x14ac:dyDescent="0.35"/>
    <row r="2" spans="1:14" x14ac:dyDescent="0.3">
      <c r="A2" s="64" t="s">
        <v>568</v>
      </c>
      <c r="B2" s="72" t="s">
        <v>585</v>
      </c>
      <c r="C2" s="72" t="s">
        <v>586</v>
      </c>
      <c r="D2" s="66" t="s">
        <v>569</v>
      </c>
      <c r="E2" s="30"/>
      <c r="F2" s="64" t="s">
        <v>570</v>
      </c>
      <c r="G2" s="65" t="s">
        <v>571</v>
      </c>
      <c r="H2" s="65" t="s">
        <v>584</v>
      </c>
      <c r="I2" s="66" t="s">
        <v>16</v>
      </c>
      <c r="K2" s="60" t="s">
        <v>10</v>
      </c>
      <c r="L2" s="72" t="s">
        <v>585</v>
      </c>
      <c r="M2" s="72" t="s">
        <v>586</v>
      </c>
      <c r="N2" s="61" t="s">
        <v>17</v>
      </c>
    </row>
    <row r="3" spans="1:14" x14ac:dyDescent="0.3">
      <c r="A3" s="5" t="s">
        <v>83</v>
      </c>
      <c r="B3" s="73">
        <f>D3/SUM(D3:D5)</f>
        <v>0.36720571955425246</v>
      </c>
      <c r="C3" s="75">
        <f>1-B3</f>
        <v>0.63279428044574759</v>
      </c>
      <c r="D3" s="62">
        <f>SUMIF(TB_Vendas[Vendedor],A3,TB_Vendas[Total])</f>
        <v>11510.099999999999</v>
      </c>
      <c r="F3" s="67">
        <v>1</v>
      </c>
      <c r="G3" s="3" t="s">
        <v>572</v>
      </c>
      <c r="H3" s="59">
        <f>SUMIF(TB_Vendas[Mês],F3,TB_Vendas[Total])</f>
        <v>2278.6</v>
      </c>
      <c r="I3" s="68">
        <f>SUMIF(TB_Vendas[Mês],F3,TB_Vendas[Qtd])</f>
        <v>14</v>
      </c>
      <c r="K3" s="5" t="s">
        <v>13</v>
      </c>
      <c r="L3" s="73">
        <f>N3/SUM(N3:N5)</f>
        <v>9.6767915878398877E-2</v>
      </c>
      <c r="M3" s="75">
        <f>1-L3</f>
        <v>0.90323208412160116</v>
      </c>
      <c r="N3" s="62">
        <f>SUMIF(TB_Vendas[Categoria],K3,TB_Vendas[Total])</f>
        <v>3033.2000000000007</v>
      </c>
    </row>
    <row r="4" spans="1:14" x14ac:dyDescent="0.3">
      <c r="A4" s="5" t="s">
        <v>84</v>
      </c>
      <c r="B4" s="73">
        <f>D4/SUM(D3:D5)</f>
        <v>0.24551524799729466</v>
      </c>
      <c r="C4" s="75">
        <f>1-B4</f>
        <v>0.75448475200270537</v>
      </c>
      <c r="D4" s="62">
        <f>SUMIF(TB_Vendas[Vendedor],A4,TB_Vendas[Total])</f>
        <v>7695.7000000000007</v>
      </c>
      <c r="F4" s="67">
        <v>2</v>
      </c>
      <c r="G4" s="3" t="s">
        <v>573</v>
      </c>
      <c r="H4" s="59">
        <f>SUMIF(TB_Vendas[Mês],F4,TB_Vendas[Total])</f>
        <v>1778.8999999999999</v>
      </c>
      <c r="I4" s="68">
        <f>SUMIF(TB_Vendas[Mês],F4,TB_Vendas[Qtd])</f>
        <v>15</v>
      </c>
      <c r="K4" s="5" t="s">
        <v>82</v>
      </c>
      <c r="L4" s="73">
        <f>N4/SUM(N3:N5)</f>
        <v>0.13899142130667952</v>
      </c>
      <c r="M4" s="75">
        <f>1-L4</f>
        <v>0.86100857869332048</v>
      </c>
      <c r="N4" s="62">
        <f>SUMIF(TB_Vendas[Categoria],K4,TB_Vendas[Total])</f>
        <v>4356.7000000000007</v>
      </c>
    </row>
    <row r="5" spans="1:14" ht="15" thickBot="1" x14ac:dyDescent="0.35">
      <c r="A5" s="6" t="s">
        <v>86</v>
      </c>
      <c r="B5" s="74">
        <f>D5/SUM(D3:D5)</f>
        <v>0.38727903244845285</v>
      </c>
      <c r="C5" s="76">
        <f>1-B5</f>
        <v>0.61272096755154715</v>
      </c>
      <c r="D5" s="63">
        <f>SUMIF(TB_Vendas[Vendedor],A5,TB_Vendas[Total])</f>
        <v>12139.3</v>
      </c>
      <c r="F5" s="67">
        <v>3</v>
      </c>
      <c r="G5" s="3" t="s">
        <v>574</v>
      </c>
      <c r="H5" s="59">
        <f>SUMIF(TB_Vendas[Mês],F5,TB_Vendas[Total])</f>
        <v>2825.4</v>
      </c>
      <c r="I5" s="68">
        <f>SUMIF(TB_Vendas[Mês],F5,TB_Vendas[Qtd])</f>
        <v>26</v>
      </c>
      <c r="K5" s="6" t="s">
        <v>12</v>
      </c>
      <c r="L5" s="74">
        <f>N5/SUM(N3:N5)</f>
        <v>0.76424066281492165</v>
      </c>
      <c r="M5" s="76">
        <f>1-L5</f>
        <v>0.23575933718507835</v>
      </c>
      <c r="N5" s="63">
        <f>SUMIF(TB_Vendas[Categoria],K5,TB_Vendas[Total])</f>
        <v>23955.200000000001</v>
      </c>
    </row>
    <row r="6" spans="1:14" ht="15" thickBot="1" x14ac:dyDescent="0.35">
      <c r="F6" s="67">
        <v>4</v>
      </c>
      <c r="G6" s="3" t="s">
        <v>575</v>
      </c>
      <c r="H6" s="59">
        <f>SUMIF(TB_Vendas[Mês],F6,TB_Vendas[Total])</f>
        <v>4249.2</v>
      </c>
      <c r="I6" s="68">
        <f>SUMIF(TB_Vendas[Mês],F6,TB_Vendas[Qtd])</f>
        <v>28</v>
      </c>
      <c r="K6" s="83" t="s">
        <v>588</v>
      </c>
      <c r="L6" s="84"/>
      <c r="M6" s="84"/>
      <c r="N6" s="85"/>
    </row>
    <row r="7" spans="1:14" x14ac:dyDescent="0.3">
      <c r="F7" s="67">
        <v>5</v>
      </c>
      <c r="G7" s="3" t="s">
        <v>576</v>
      </c>
      <c r="H7" s="59">
        <f>SUMIF(TB_Vendas[Mês],F7,TB_Vendas[Total])</f>
        <v>2968.5</v>
      </c>
      <c r="I7" s="68">
        <f>SUMIF(TB_Vendas[Mês],F7,TB_Vendas[Qtd])</f>
        <v>17</v>
      </c>
    </row>
    <row r="8" spans="1:14" x14ac:dyDescent="0.3">
      <c r="F8" s="67">
        <v>6</v>
      </c>
      <c r="G8" s="3" t="s">
        <v>577</v>
      </c>
      <c r="H8" s="59">
        <f>SUMIF(TB_Vendas[Mês],F8,TB_Vendas[Total])</f>
        <v>3299.2</v>
      </c>
      <c r="I8" s="68">
        <f>SUMIF(TB_Vendas[Mês],F8,TB_Vendas[Qtd])</f>
        <v>31</v>
      </c>
    </row>
    <row r="9" spans="1:14" ht="15" thickBot="1" x14ac:dyDescent="0.35">
      <c r="F9" s="67">
        <v>7</v>
      </c>
      <c r="G9" s="3" t="s">
        <v>578</v>
      </c>
      <c r="H9" s="59">
        <f>SUMIF(TB_Vendas[Mês],F9,TB_Vendas[Total])</f>
        <v>1831.6000000000001</v>
      </c>
      <c r="I9" s="68">
        <f>SUMIF(TB_Vendas[Mês],F9,TB_Vendas[Qtd])</f>
        <v>14</v>
      </c>
    </row>
    <row r="10" spans="1:14" x14ac:dyDescent="0.3">
      <c r="F10" s="67">
        <v>8</v>
      </c>
      <c r="G10" s="3" t="s">
        <v>579</v>
      </c>
      <c r="H10" s="59">
        <f>SUMIF(TB_Vendas[Mês],F10,TB_Vendas[Total])</f>
        <v>2048.5</v>
      </c>
      <c r="I10" s="68">
        <f>SUMIF(TB_Vendas[Mês],F10,TB_Vendas[Qtd])</f>
        <v>15</v>
      </c>
      <c r="K10" s="60" t="s">
        <v>10</v>
      </c>
      <c r="L10" s="61" t="s">
        <v>17</v>
      </c>
    </row>
    <row r="11" spans="1:14" x14ac:dyDescent="0.3">
      <c r="F11" s="67">
        <v>9</v>
      </c>
      <c r="G11" s="3" t="s">
        <v>580</v>
      </c>
      <c r="H11" s="59">
        <f>SUMIF(TB_Vendas[Mês],F11,TB_Vendas[Total])</f>
        <v>1891.4</v>
      </c>
      <c r="I11" s="68">
        <f>SUMIF(TB_Vendas[Mês],F11,TB_Vendas[Qtd])</f>
        <v>26</v>
      </c>
      <c r="K11" s="5" t="s">
        <v>13</v>
      </c>
      <c r="L11" s="62">
        <f>SUMIF(TB_Vendas[Categoria],K11,TB_Vendas[Total])</f>
        <v>3033.2000000000007</v>
      </c>
    </row>
    <row r="12" spans="1:14" x14ac:dyDescent="0.3">
      <c r="F12" s="67">
        <v>10</v>
      </c>
      <c r="G12" s="3" t="s">
        <v>581</v>
      </c>
      <c r="H12" s="59">
        <f>SUMIF(TB_Vendas[Mês],F12,TB_Vendas[Total])</f>
        <v>3782.7000000000003</v>
      </c>
      <c r="I12" s="68">
        <f>SUMIF(TB_Vendas[Mês],F12,TB_Vendas[Qtd])</f>
        <v>28</v>
      </c>
      <c r="K12" s="5" t="s">
        <v>82</v>
      </c>
      <c r="L12" s="62">
        <f>SUMIF(TB_Vendas[Categoria],K12,TB_Vendas[Total])</f>
        <v>4356.7000000000007</v>
      </c>
    </row>
    <row r="13" spans="1:14" ht="15" thickBot="1" x14ac:dyDescent="0.35">
      <c r="F13" s="67">
        <v>11</v>
      </c>
      <c r="G13" s="3" t="s">
        <v>582</v>
      </c>
      <c r="H13" s="59">
        <f>SUMIF(TB_Vendas[Mês],F13,TB_Vendas[Total])</f>
        <v>1738.7</v>
      </c>
      <c r="I13" s="68">
        <f>SUMIF(TB_Vendas[Mês],F13,TB_Vendas[Qtd])</f>
        <v>17</v>
      </c>
      <c r="K13" s="6" t="s">
        <v>12</v>
      </c>
      <c r="L13" s="63">
        <f>SUMIF(TB_Vendas[Categoria],K13,TB_Vendas[Total])</f>
        <v>23955.200000000001</v>
      </c>
    </row>
    <row r="14" spans="1:14" ht="15" thickBot="1" x14ac:dyDescent="0.35">
      <c r="F14" s="69">
        <v>12</v>
      </c>
      <c r="G14" s="8" t="s">
        <v>583</v>
      </c>
      <c r="H14" s="70">
        <f>SUMIF(TB_Vendas[Mês],F14,TB_Vendas[Total])</f>
        <v>2652.4</v>
      </c>
      <c r="I14" s="71">
        <f>SUMIF(TB_Vendas[Mês],F14,TB_Vendas[Qtd])</f>
        <v>31</v>
      </c>
      <c r="K14" s="81" t="s">
        <v>587</v>
      </c>
      <c r="L14" s="82"/>
    </row>
  </sheetData>
  <sortState xmlns:xlrd2="http://schemas.microsoft.com/office/spreadsheetml/2017/richdata2" ref="K3:N5">
    <sortCondition ref="K3:K5"/>
  </sortState>
  <mergeCells count="2">
    <mergeCell ref="K14:L14"/>
    <mergeCell ref="K6:N6"/>
  </mergeCells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2585-5F86-45B1-A30D-8F67496BCE77}">
  <dimension ref="A1:CC1000"/>
  <sheetViews>
    <sheetView zoomScale="120" zoomScaleNormal="120" workbookViewId="0">
      <selection activeCell="AP26" sqref="AP26"/>
    </sheetView>
  </sheetViews>
  <sheetFormatPr defaultColWidth="0" defaultRowHeight="15" customHeight="1" zeroHeight="1" x14ac:dyDescent="0.3"/>
  <cols>
    <col min="1" max="80" width="2" style="58" customWidth="1"/>
    <col min="81" max="81" width="4.109375" style="58" customWidth="1"/>
    <col min="82" max="16384" width="14.44140625" style="58" hidden="1"/>
  </cols>
  <sheetData>
    <row r="1" spans="1:80" ht="9.75" customHeight="1" thickBo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</row>
    <row r="2" spans="1:80" ht="9.75" customHeight="1" x14ac:dyDescent="0.4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96" t="s">
        <v>562</v>
      </c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8"/>
      <c r="AM2" s="54"/>
      <c r="AN2" s="54"/>
      <c r="AO2" s="96" t="s">
        <v>564</v>
      </c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8"/>
      <c r="BE2" s="57"/>
      <c r="BF2" s="57"/>
      <c r="BG2" s="96" t="s">
        <v>563</v>
      </c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8"/>
    </row>
    <row r="3" spans="1:80" ht="9.75" customHeight="1" thickBo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1"/>
      <c r="AM3" s="54"/>
      <c r="AN3" s="54"/>
      <c r="AO3" s="99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1"/>
      <c r="BE3" s="57"/>
      <c r="BF3" s="57"/>
      <c r="BG3" s="99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1"/>
    </row>
    <row r="4" spans="1:80" ht="9.75" customHeight="1" x14ac:dyDescent="0.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102">
        <f>COUNTA(TB_Produtos[Código])</f>
        <v>321</v>
      </c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4"/>
      <c r="AM4" s="54"/>
      <c r="AN4" s="54"/>
      <c r="AO4" s="102">
        <f>SUM(TB_Vendas[Qtd])</f>
        <v>262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4"/>
      <c r="BE4" s="56"/>
      <c r="BF4" s="56"/>
      <c r="BG4" s="111">
        <f>SUM(TB_Vendas[Total])</f>
        <v>31345.100000000017</v>
      </c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3"/>
    </row>
    <row r="5" spans="1:80" ht="9.75" customHeight="1" x14ac:dyDescent="0.9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105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7"/>
      <c r="AM5" s="55"/>
      <c r="AN5" s="54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7"/>
      <c r="BE5" s="56"/>
      <c r="BF5" s="56"/>
      <c r="BG5" s="114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6"/>
    </row>
    <row r="6" spans="1:80" ht="9.75" customHeight="1" x14ac:dyDescent="0.9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105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  <c r="AM6" s="55"/>
      <c r="AN6" s="54"/>
      <c r="AO6" s="105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7"/>
      <c r="BE6" s="56"/>
      <c r="BF6" s="56"/>
      <c r="BG6" s="114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6"/>
    </row>
    <row r="7" spans="1:80" ht="9.75" customHeight="1" thickBot="1" x14ac:dyDescent="0.9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108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10"/>
      <c r="AM7" s="54"/>
      <c r="AN7" s="54"/>
      <c r="AO7" s="108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10"/>
      <c r="BE7" s="56"/>
      <c r="BF7" s="56"/>
      <c r="BG7" s="117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9"/>
    </row>
    <row r="8" spans="1:80" ht="9.75" customHeight="1" thickBot="1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</row>
    <row r="9" spans="1:80" ht="9.75" customHeight="1" x14ac:dyDescent="0.4">
      <c r="A9" s="51"/>
      <c r="B9" s="51"/>
      <c r="C9" s="86" t="s">
        <v>565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8"/>
    </row>
    <row r="10" spans="1:80" ht="9.75" customHeight="1" thickBot="1" x14ac:dyDescent="0.45">
      <c r="A10" s="51"/>
      <c r="B10" s="51"/>
      <c r="C10" s="89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1"/>
    </row>
    <row r="11" spans="1:80" ht="9.75" customHeight="1" x14ac:dyDescent="0.4">
      <c r="A11" s="51"/>
      <c r="B11" s="51"/>
      <c r="C11" s="92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8"/>
    </row>
    <row r="12" spans="1:80" ht="9.75" customHeight="1" x14ac:dyDescent="0.4">
      <c r="A12" s="51"/>
      <c r="B12" s="51"/>
      <c r="C12" s="93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5"/>
    </row>
    <row r="13" spans="1:80" ht="9.75" customHeight="1" x14ac:dyDescent="0.4">
      <c r="A13" s="51"/>
      <c r="B13" s="51"/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5"/>
    </row>
    <row r="14" spans="1:80" ht="9.75" customHeight="1" x14ac:dyDescent="0.4">
      <c r="A14" s="51"/>
      <c r="B14" s="51"/>
      <c r="C14" s="93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5"/>
    </row>
    <row r="15" spans="1:80" ht="9.75" customHeight="1" x14ac:dyDescent="0.4">
      <c r="A15" s="51"/>
      <c r="B15" s="51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5"/>
    </row>
    <row r="16" spans="1:80" ht="9.75" customHeight="1" x14ac:dyDescent="0.4">
      <c r="A16" s="51"/>
      <c r="B16" s="51"/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5"/>
    </row>
    <row r="17" spans="1:80" ht="9.75" customHeight="1" x14ac:dyDescent="0.4">
      <c r="A17" s="51"/>
      <c r="B17" s="51"/>
      <c r="C17" s="93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5"/>
    </row>
    <row r="18" spans="1:80" ht="9.75" customHeight="1" x14ac:dyDescent="0.4">
      <c r="A18" s="51"/>
      <c r="B18" s="51"/>
      <c r="C18" s="93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5"/>
    </row>
    <row r="19" spans="1:80" ht="9.75" customHeight="1" x14ac:dyDescent="0.4">
      <c r="A19" s="51"/>
      <c r="B19" s="51"/>
      <c r="C19" s="93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5"/>
    </row>
    <row r="20" spans="1:80" ht="9.75" customHeight="1" x14ac:dyDescent="0.4">
      <c r="A20" s="51"/>
      <c r="B20" s="51"/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5"/>
    </row>
    <row r="21" spans="1:80" ht="9.75" customHeight="1" x14ac:dyDescent="0.4">
      <c r="A21" s="51"/>
      <c r="B21" s="51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5"/>
    </row>
    <row r="22" spans="1:80" ht="9.75" customHeight="1" x14ac:dyDescent="0.4">
      <c r="A22" s="51"/>
      <c r="B22" s="51"/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5"/>
    </row>
    <row r="23" spans="1:80" ht="9.75" customHeight="1" x14ac:dyDescent="0.4">
      <c r="A23" s="51"/>
      <c r="B23" s="51"/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5"/>
    </row>
    <row r="24" spans="1:80" ht="9.75" customHeight="1" thickBot="1" x14ac:dyDescent="0.45">
      <c r="A24" s="51"/>
      <c r="B24" s="51"/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1"/>
    </row>
    <row r="25" spans="1:80" ht="9.75" customHeight="1" thickBot="1" x14ac:dyDescent="0.4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</row>
    <row r="26" spans="1:80" ht="9.75" customHeight="1" x14ac:dyDescent="0.55000000000000004">
      <c r="A26" s="51"/>
      <c r="B26" s="51"/>
      <c r="C26" s="86" t="s">
        <v>566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8"/>
      <c r="AO26" s="53"/>
      <c r="AP26" s="53"/>
      <c r="AQ26" s="86" t="s">
        <v>567</v>
      </c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8"/>
    </row>
    <row r="27" spans="1:80" ht="9.75" customHeight="1" thickBot="1" x14ac:dyDescent="0.6">
      <c r="A27" s="51"/>
      <c r="B27" s="51"/>
      <c r="C27" s="89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53"/>
      <c r="AP27" s="53"/>
      <c r="AQ27" s="89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1"/>
    </row>
    <row r="28" spans="1:80" ht="9.75" customHeight="1" x14ac:dyDescent="0.4">
      <c r="A28" s="51"/>
      <c r="B28" s="51"/>
      <c r="C28" s="92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8"/>
      <c r="AO28" s="51"/>
      <c r="AP28" s="51"/>
      <c r="AQ28" s="92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8"/>
    </row>
    <row r="29" spans="1:80" ht="9.75" customHeight="1" x14ac:dyDescent="0.4">
      <c r="A29" s="51"/>
      <c r="B29" s="51"/>
      <c r="C29" s="93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5"/>
      <c r="AO29" s="51"/>
      <c r="AP29" s="51"/>
      <c r="AQ29" s="93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5"/>
    </row>
    <row r="30" spans="1:80" ht="9.75" customHeight="1" x14ac:dyDescent="0.4">
      <c r="A30" s="51"/>
      <c r="B30" s="51"/>
      <c r="C30" s="93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5"/>
      <c r="AO30" s="51"/>
      <c r="AP30" s="51"/>
      <c r="AQ30" s="93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5"/>
    </row>
    <row r="31" spans="1:80" ht="9.75" customHeight="1" x14ac:dyDescent="0.4">
      <c r="A31" s="51"/>
      <c r="B31" s="51"/>
      <c r="C31" s="9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5"/>
      <c r="AO31" s="51"/>
      <c r="AP31" s="51"/>
      <c r="AQ31" s="93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5"/>
    </row>
    <row r="32" spans="1:80" ht="9.75" customHeight="1" x14ac:dyDescent="0.4">
      <c r="A32" s="51"/>
      <c r="B32" s="51"/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5"/>
      <c r="AO32" s="51"/>
      <c r="AP32" s="51"/>
      <c r="AQ32" s="93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5"/>
    </row>
    <row r="33" spans="1:80" ht="9.75" customHeight="1" x14ac:dyDescent="0.4">
      <c r="A33" s="51"/>
      <c r="B33" s="51"/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5"/>
      <c r="AO33" s="51"/>
      <c r="AP33" s="51"/>
      <c r="AQ33" s="93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5"/>
    </row>
    <row r="34" spans="1:80" ht="9.75" customHeight="1" x14ac:dyDescent="0.4">
      <c r="A34" s="51"/>
      <c r="B34" s="51"/>
      <c r="C34" s="93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5"/>
      <c r="AO34" s="51"/>
      <c r="AP34" s="51"/>
      <c r="AQ34" s="93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5"/>
    </row>
    <row r="35" spans="1:80" ht="9.75" customHeight="1" x14ac:dyDescent="0.4">
      <c r="A35" s="51"/>
      <c r="B35" s="51"/>
      <c r="C35" s="93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5"/>
      <c r="AO35" s="51"/>
      <c r="AP35" s="51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5"/>
    </row>
    <row r="36" spans="1:80" ht="9.75" customHeight="1" x14ac:dyDescent="0.4">
      <c r="A36" s="51"/>
      <c r="B36" s="51"/>
      <c r="C36" s="93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5"/>
      <c r="AO36" s="51"/>
      <c r="AP36" s="51"/>
      <c r="AQ36" s="93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5"/>
    </row>
    <row r="37" spans="1:80" ht="9.75" customHeight="1" x14ac:dyDescent="0.4">
      <c r="A37" s="51"/>
      <c r="B37" s="51"/>
      <c r="C37" s="93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5"/>
      <c r="AO37" s="51"/>
      <c r="AP37" s="51"/>
      <c r="AQ37" s="93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5"/>
    </row>
    <row r="38" spans="1:80" ht="9.75" customHeight="1" x14ac:dyDescent="0.4">
      <c r="A38" s="51"/>
      <c r="B38" s="51"/>
      <c r="C38" s="93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5"/>
      <c r="AO38" s="51"/>
      <c r="AP38" s="51"/>
      <c r="AQ38" s="93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5"/>
    </row>
    <row r="39" spans="1:80" ht="9.75" customHeight="1" x14ac:dyDescent="0.4">
      <c r="A39" s="51"/>
      <c r="B39" s="51"/>
      <c r="C39" s="93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5"/>
      <c r="AO39" s="51"/>
      <c r="AP39" s="51"/>
      <c r="AQ39" s="93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5"/>
    </row>
    <row r="40" spans="1:80" ht="9.75" customHeight="1" x14ac:dyDescent="0.4">
      <c r="A40" s="51"/>
      <c r="B40" s="51"/>
      <c r="C40" s="93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5"/>
      <c r="AO40" s="51"/>
      <c r="AP40" s="51"/>
      <c r="AQ40" s="93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5"/>
    </row>
    <row r="41" spans="1:80" ht="9.75" customHeight="1" x14ac:dyDescent="0.4">
      <c r="A41" s="51"/>
      <c r="B41" s="51"/>
      <c r="C41" s="93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5"/>
      <c r="AO41" s="51"/>
      <c r="AP41" s="51"/>
      <c r="AQ41" s="93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5"/>
    </row>
    <row r="42" spans="1:80" ht="9.75" customHeight="1" x14ac:dyDescent="0.4">
      <c r="A42" s="51"/>
      <c r="B42" s="51"/>
      <c r="C42" s="93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5"/>
      <c r="AO42" s="51"/>
      <c r="AP42" s="51"/>
      <c r="AQ42" s="93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5"/>
    </row>
    <row r="43" spans="1:80" ht="9.75" customHeight="1" x14ac:dyDescent="0.4">
      <c r="A43" s="51"/>
      <c r="B43" s="51"/>
      <c r="C43" s="93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5"/>
      <c r="AO43" s="51"/>
      <c r="AP43" s="51"/>
      <c r="AQ43" s="93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5"/>
    </row>
    <row r="44" spans="1:80" ht="9.75" customHeight="1" x14ac:dyDescent="0.4">
      <c r="A44" s="51"/>
      <c r="B44" s="51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5"/>
      <c r="AO44" s="51"/>
      <c r="AP44" s="51"/>
      <c r="AQ44" s="93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5"/>
    </row>
    <row r="45" spans="1:80" ht="9.75" customHeight="1" x14ac:dyDescent="0.4">
      <c r="A45" s="51"/>
      <c r="B45" s="51"/>
      <c r="C45" s="93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5"/>
      <c r="AO45" s="51"/>
      <c r="AP45" s="51"/>
      <c r="AQ45" s="93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5"/>
    </row>
    <row r="46" spans="1:80" ht="9.75" customHeight="1" thickBot="1" x14ac:dyDescent="0.45">
      <c r="A46" s="51"/>
      <c r="B46" s="51"/>
      <c r="C46" s="89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51"/>
      <c r="AP46" s="51"/>
      <c r="AQ46" s="89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1"/>
    </row>
    <row r="47" spans="1:80" ht="9.75" customHeight="1" x14ac:dyDescent="0.4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</row>
    <row r="48" spans="1:80" ht="9.75" customHeight="1" x14ac:dyDescent="0.4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</row>
    <row r="49" spans="1:80" ht="9.75" hidden="1" customHeight="1" x14ac:dyDescent="0.4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</row>
    <row r="50" spans="1:80" ht="9.75" hidden="1" customHeight="1" x14ac:dyDescent="0.4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</row>
    <row r="51" spans="1:80" ht="9.75" hidden="1" customHeight="1" x14ac:dyDescent="0.4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</row>
    <row r="52" spans="1:80" ht="9.75" hidden="1" customHeight="1" x14ac:dyDescent="0.4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</row>
    <row r="53" spans="1:80" ht="9.75" hidden="1" customHeight="1" x14ac:dyDescent="0.4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</row>
    <row r="54" spans="1:80" ht="9.75" hidden="1" customHeight="1" x14ac:dyDescent="0.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</row>
    <row r="55" spans="1:80" ht="9.75" hidden="1" customHeight="1" x14ac:dyDescent="0.4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</row>
    <row r="56" spans="1:80" ht="9.75" hidden="1" customHeight="1" x14ac:dyDescent="0.4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</row>
    <row r="57" spans="1:80" ht="9.75" hidden="1" customHeight="1" x14ac:dyDescent="0.4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</row>
    <row r="58" spans="1:80" ht="9.75" hidden="1" customHeight="1" x14ac:dyDescent="0.4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</row>
    <row r="59" spans="1:80" ht="9.75" hidden="1" customHeight="1" x14ac:dyDescent="0.4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</row>
    <row r="60" spans="1:80" ht="9.75" hidden="1" customHeight="1" x14ac:dyDescent="0.4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</row>
    <row r="61" spans="1:80" ht="9.75" hidden="1" customHeight="1" x14ac:dyDescent="0.4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</row>
    <row r="62" spans="1:80" ht="9.75" hidden="1" customHeight="1" x14ac:dyDescent="0.4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</row>
    <row r="63" spans="1:80" ht="9.75" hidden="1" customHeight="1" x14ac:dyDescent="0.4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</row>
    <row r="64" spans="1:80" ht="9.75" hidden="1" customHeight="1" x14ac:dyDescent="0.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</row>
    <row r="65" spans="1:80" ht="9.75" hidden="1" customHeight="1" x14ac:dyDescent="0.4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</row>
    <row r="66" spans="1:80" ht="9.75" hidden="1" customHeight="1" x14ac:dyDescent="0.4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</row>
    <row r="67" spans="1:80" ht="9.75" hidden="1" customHeight="1" x14ac:dyDescent="0.4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</row>
    <row r="68" spans="1:80" ht="9.75" hidden="1" customHeight="1" x14ac:dyDescent="0.4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</row>
    <row r="69" spans="1:80" ht="9.75" hidden="1" customHeight="1" x14ac:dyDescent="0.4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</row>
    <row r="70" spans="1:80" ht="9.75" hidden="1" customHeight="1" x14ac:dyDescent="0.4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</row>
    <row r="71" spans="1:80" ht="9.75" hidden="1" customHeight="1" x14ac:dyDescent="0.4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</row>
    <row r="72" spans="1:80" ht="9.75" hidden="1" customHeight="1" x14ac:dyDescent="0.4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</row>
    <row r="73" spans="1:80" ht="9.75" hidden="1" customHeight="1" x14ac:dyDescent="0.4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</row>
    <row r="74" spans="1:80" ht="9.75" hidden="1" customHeight="1" x14ac:dyDescent="0.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</row>
    <row r="75" spans="1:80" ht="9.75" hidden="1" customHeight="1" x14ac:dyDescent="0.4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</row>
    <row r="76" spans="1:80" ht="9.75" hidden="1" customHeight="1" x14ac:dyDescent="0.4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</row>
    <row r="77" spans="1:80" ht="9.75" hidden="1" customHeight="1" x14ac:dyDescent="0.4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</row>
    <row r="78" spans="1:80" ht="9.75" hidden="1" customHeight="1" x14ac:dyDescent="0.4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</row>
    <row r="79" spans="1:80" ht="9.75" hidden="1" customHeight="1" x14ac:dyDescent="0.4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</row>
    <row r="80" spans="1:80" ht="9.75" hidden="1" customHeight="1" x14ac:dyDescent="0.4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</row>
    <row r="81" spans="1:80" ht="9.75" hidden="1" customHeight="1" x14ac:dyDescent="0.4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</row>
    <row r="82" spans="1:80" ht="9.75" hidden="1" customHeight="1" x14ac:dyDescent="0.4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</row>
    <row r="83" spans="1:80" ht="9.75" hidden="1" customHeight="1" x14ac:dyDescent="0.4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</row>
    <row r="84" spans="1:80" ht="9.75" hidden="1" customHeight="1" x14ac:dyDescent="0.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</row>
    <row r="85" spans="1:80" ht="9.75" hidden="1" customHeight="1" x14ac:dyDescent="0.4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</row>
    <row r="86" spans="1:80" ht="9.75" hidden="1" customHeight="1" x14ac:dyDescent="0.4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</row>
    <row r="87" spans="1:80" ht="9.75" hidden="1" customHeight="1" x14ac:dyDescent="0.4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</row>
    <row r="88" spans="1:80" ht="9.75" hidden="1" customHeight="1" x14ac:dyDescent="0.4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</row>
    <row r="89" spans="1:80" ht="9.75" hidden="1" customHeight="1" x14ac:dyDescent="0.4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</row>
    <row r="90" spans="1:80" ht="9.75" hidden="1" customHeight="1" x14ac:dyDescent="0.4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</row>
    <row r="91" spans="1:80" ht="9.75" hidden="1" customHeight="1" x14ac:dyDescent="0.4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</row>
    <row r="92" spans="1:80" ht="9.75" hidden="1" customHeight="1" x14ac:dyDescent="0.4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</row>
    <row r="93" spans="1:80" ht="9.75" hidden="1" customHeight="1" x14ac:dyDescent="0.4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</row>
    <row r="94" spans="1:80" ht="9.75" hidden="1" customHeight="1" x14ac:dyDescent="0.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</row>
    <row r="95" spans="1:80" ht="9.75" hidden="1" customHeight="1" x14ac:dyDescent="0.4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</row>
    <row r="96" spans="1:80" ht="9.75" hidden="1" customHeight="1" x14ac:dyDescent="0.4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</row>
    <row r="97" spans="1:80" ht="9.75" hidden="1" customHeight="1" x14ac:dyDescent="0.4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</row>
    <row r="98" spans="1:80" ht="9.75" hidden="1" customHeight="1" x14ac:dyDescent="0.4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</row>
    <row r="99" spans="1:80" ht="9.75" hidden="1" customHeight="1" x14ac:dyDescent="0.4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</row>
    <row r="100" spans="1:80" ht="9.75" hidden="1" customHeight="1" x14ac:dyDescent="0.4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</row>
    <row r="101" spans="1:80" ht="9.75" hidden="1" customHeight="1" x14ac:dyDescent="0.4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</row>
    <row r="102" spans="1:80" ht="9.75" hidden="1" customHeight="1" x14ac:dyDescent="0.4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</row>
    <row r="103" spans="1:80" ht="9.75" hidden="1" customHeight="1" x14ac:dyDescent="0.4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</row>
    <row r="104" spans="1:80" ht="9.75" hidden="1" customHeight="1" x14ac:dyDescent="0.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</row>
    <row r="105" spans="1:80" ht="9.75" hidden="1" customHeight="1" x14ac:dyDescent="0.4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</row>
    <row r="106" spans="1:80" ht="9.75" hidden="1" customHeight="1" x14ac:dyDescent="0.4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</row>
    <row r="107" spans="1:80" ht="9.75" hidden="1" customHeight="1" x14ac:dyDescent="0.4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</row>
    <row r="108" spans="1:80" ht="9.75" hidden="1" customHeight="1" x14ac:dyDescent="0.4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</row>
    <row r="109" spans="1:80" ht="9.75" hidden="1" customHeight="1" x14ac:dyDescent="0.4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</row>
    <row r="110" spans="1:80" ht="9.75" hidden="1" customHeight="1" x14ac:dyDescent="0.4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</row>
    <row r="111" spans="1:80" ht="9.75" hidden="1" customHeight="1" x14ac:dyDescent="0.4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</row>
    <row r="112" spans="1:80" ht="9.75" hidden="1" customHeight="1" x14ac:dyDescent="0.4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</row>
    <row r="113" spans="1:80" ht="9.75" hidden="1" customHeight="1" x14ac:dyDescent="0.4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</row>
    <row r="114" spans="1:80" ht="9.75" hidden="1" customHeight="1" x14ac:dyDescent="0.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</row>
    <row r="115" spans="1:80" ht="9.75" hidden="1" customHeight="1" x14ac:dyDescent="0.4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</row>
    <row r="116" spans="1:80" ht="9.75" hidden="1" customHeight="1" x14ac:dyDescent="0.4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</row>
    <row r="117" spans="1:80" ht="9.75" hidden="1" customHeight="1" x14ac:dyDescent="0.4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</row>
    <row r="118" spans="1:80" ht="9.75" hidden="1" customHeight="1" x14ac:dyDescent="0.4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</row>
    <row r="119" spans="1:80" ht="9.75" hidden="1" customHeight="1" x14ac:dyDescent="0.4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</row>
    <row r="120" spans="1:80" ht="9.75" hidden="1" customHeight="1" x14ac:dyDescent="0.4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</row>
    <row r="121" spans="1:80" ht="9.75" hidden="1" customHeight="1" x14ac:dyDescent="0.4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</row>
    <row r="122" spans="1:80" ht="9.75" hidden="1" customHeight="1" x14ac:dyDescent="0.4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</row>
    <row r="123" spans="1:80" ht="9.75" hidden="1" customHeight="1" x14ac:dyDescent="0.4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</row>
    <row r="124" spans="1:80" ht="9.75" hidden="1" customHeight="1" x14ac:dyDescent="0.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</row>
    <row r="125" spans="1:80" ht="9.75" hidden="1" customHeight="1" x14ac:dyDescent="0.4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</row>
    <row r="126" spans="1:80" ht="9.75" hidden="1" customHeight="1" x14ac:dyDescent="0.4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</row>
    <row r="127" spans="1:80" ht="9.75" hidden="1" customHeight="1" x14ac:dyDescent="0.4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</row>
    <row r="128" spans="1:80" ht="9.75" hidden="1" customHeight="1" x14ac:dyDescent="0.4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</row>
    <row r="129" spans="1:80" ht="9.75" hidden="1" customHeight="1" x14ac:dyDescent="0.4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</row>
    <row r="130" spans="1:80" ht="9.75" hidden="1" customHeight="1" x14ac:dyDescent="0.4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</row>
    <row r="131" spans="1:80" ht="9.75" hidden="1" customHeight="1" x14ac:dyDescent="0.4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</row>
    <row r="132" spans="1:80" ht="9.75" hidden="1" customHeight="1" x14ac:dyDescent="0.4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</row>
    <row r="133" spans="1:80" ht="9.75" hidden="1" customHeight="1" x14ac:dyDescent="0.4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</row>
    <row r="134" spans="1:80" ht="9.75" hidden="1" customHeight="1" x14ac:dyDescent="0.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</row>
    <row r="135" spans="1:80" ht="9.75" hidden="1" customHeight="1" x14ac:dyDescent="0.4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</row>
    <row r="136" spans="1:80" ht="9.75" hidden="1" customHeight="1" x14ac:dyDescent="0.4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</row>
    <row r="137" spans="1:80" ht="9.75" hidden="1" customHeight="1" x14ac:dyDescent="0.4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</row>
    <row r="138" spans="1:80" ht="9.75" hidden="1" customHeight="1" x14ac:dyDescent="0.4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</row>
    <row r="139" spans="1:80" ht="9.75" hidden="1" customHeight="1" x14ac:dyDescent="0.4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</row>
    <row r="140" spans="1:80" ht="9.75" hidden="1" customHeight="1" x14ac:dyDescent="0.4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</row>
    <row r="141" spans="1:80" ht="9.75" hidden="1" customHeight="1" x14ac:dyDescent="0.4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</row>
    <row r="142" spans="1:80" ht="9.75" hidden="1" customHeight="1" x14ac:dyDescent="0.4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</row>
    <row r="143" spans="1:80" ht="9.75" hidden="1" customHeight="1" x14ac:dyDescent="0.4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</row>
    <row r="144" spans="1:80" ht="9.75" hidden="1" customHeight="1" x14ac:dyDescent="0.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</row>
    <row r="145" spans="1:80" ht="9.75" hidden="1" customHeight="1" x14ac:dyDescent="0.4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</row>
    <row r="146" spans="1:80" ht="9.75" hidden="1" customHeight="1" x14ac:dyDescent="0.4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</row>
    <row r="147" spans="1:80" ht="9.75" hidden="1" customHeight="1" x14ac:dyDescent="0.4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</row>
    <row r="148" spans="1:80" ht="9.75" hidden="1" customHeight="1" x14ac:dyDescent="0.4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</row>
    <row r="149" spans="1:80" ht="9.75" hidden="1" customHeight="1" x14ac:dyDescent="0.4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</row>
    <row r="150" spans="1:80" ht="9.75" hidden="1" customHeight="1" x14ac:dyDescent="0.4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</row>
    <row r="151" spans="1:80" ht="9.75" hidden="1" customHeight="1" x14ac:dyDescent="0.4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</row>
    <row r="152" spans="1:80" ht="9.75" hidden="1" customHeight="1" x14ac:dyDescent="0.4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</row>
    <row r="153" spans="1:80" ht="9.75" hidden="1" customHeight="1" x14ac:dyDescent="0.4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</row>
    <row r="154" spans="1:80" ht="9.75" hidden="1" customHeight="1" x14ac:dyDescent="0.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</row>
    <row r="155" spans="1:80" ht="9.75" hidden="1" customHeight="1" x14ac:dyDescent="0.4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</row>
    <row r="156" spans="1:80" ht="9.75" hidden="1" customHeight="1" x14ac:dyDescent="0.4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</row>
    <row r="157" spans="1:80" ht="9.75" hidden="1" customHeight="1" x14ac:dyDescent="0.4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</row>
    <row r="158" spans="1:80" ht="9.75" hidden="1" customHeight="1" x14ac:dyDescent="0.4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</row>
    <row r="159" spans="1:80" ht="9.75" hidden="1" customHeight="1" x14ac:dyDescent="0.4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</row>
    <row r="160" spans="1:80" ht="9.75" hidden="1" customHeight="1" x14ac:dyDescent="0.4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</row>
    <row r="161" spans="1:80" ht="9.75" hidden="1" customHeight="1" x14ac:dyDescent="0.4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</row>
    <row r="162" spans="1:80" ht="9.75" hidden="1" customHeight="1" x14ac:dyDescent="0.4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</row>
    <row r="163" spans="1:80" ht="9.75" hidden="1" customHeight="1" x14ac:dyDescent="0.4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</row>
    <row r="164" spans="1:80" ht="9.75" hidden="1" customHeight="1" x14ac:dyDescent="0.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</row>
    <row r="165" spans="1:80" ht="9.75" hidden="1" customHeight="1" x14ac:dyDescent="0.4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</row>
    <row r="166" spans="1:80" ht="9.75" hidden="1" customHeight="1" x14ac:dyDescent="0.4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</row>
    <row r="167" spans="1:80" ht="9.75" hidden="1" customHeight="1" x14ac:dyDescent="0.4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</row>
    <row r="168" spans="1:80" ht="9.75" hidden="1" customHeight="1" x14ac:dyDescent="0.4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</row>
    <row r="169" spans="1:80" ht="9.75" hidden="1" customHeight="1" x14ac:dyDescent="0.4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</row>
    <row r="170" spans="1:80" ht="9.75" hidden="1" customHeight="1" x14ac:dyDescent="0.4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</row>
    <row r="171" spans="1:80" ht="9.75" hidden="1" customHeight="1" x14ac:dyDescent="0.4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</row>
    <row r="172" spans="1:80" ht="9.75" hidden="1" customHeight="1" x14ac:dyDescent="0.4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</row>
    <row r="173" spans="1:80" ht="9.75" hidden="1" customHeight="1" x14ac:dyDescent="0.4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</row>
    <row r="174" spans="1:80" ht="9.75" hidden="1" customHeight="1" x14ac:dyDescent="0.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</row>
    <row r="175" spans="1:80" ht="9.75" hidden="1" customHeight="1" x14ac:dyDescent="0.4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</row>
    <row r="176" spans="1:80" ht="9.75" hidden="1" customHeight="1" x14ac:dyDescent="0.4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</row>
    <row r="177" spans="1:80" ht="9.75" hidden="1" customHeight="1" x14ac:dyDescent="0.4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</row>
    <row r="178" spans="1:80" ht="9.75" hidden="1" customHeight="1" x14ac:dyDescent="0.4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</row>
    <row r="179" spans="1:80" ht="9.75" hidden="1" customHeight="1" x14ac:dyDescent="0.4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</row>
    <row r="180" spans="1:80" ht="9.75" hidden="1" customHeight="1" x14ac:dyDescent="0.4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</row>
    <row r="181" spans="1:80" ht="9.75" hidden="1" customHeight="1" x14ac:dyDescent="0.4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</row>
    <row r="182" spans="1:80" ht="9.75" hidden="1" customHeight="1" x14ac:dyDescent="0.4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</row>
    <row r="183" spans="1:80" ht="9.75" hidden="1" customHeight="1" x14ac:dyDescent="0.4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</row>
    <row r="184" spans="1:80" ht="9.75" hidden="1" customHeight="1" x14ac:dyDescent="0.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</row>
    <row r="185" spans="1:80" ht="9.75" hidden="1" customHeight="1" x14ac:dyDescent="0.4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</row>
    <row r="186" spans="1:80" ht="9.75" hidden="1" customHeight="1" x14ac:dyDescent="0.4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</row>
    <row r="187" spans="1:80" ht="9.75" hidden="1" customHeight="1" x14ac:dyDescent="0.4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</row>
    <row r="188" spans="1:80" ht="9.75" hidden="1" customHeight="1" x14ac:dyDescent="0.4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</row>
    <row r="189" spans="1:80" ht="9.75" hidden="1" customHeight="1" x14ac:dyDescent="0.4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</row>
    <row r="190" spans="1:80" ht="9.75" hidden="1" customHeight="1" x14ac:dyDescent="0.4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</row>
    <row r="191" spans="1:80" ht="9.75" hidden="1" customHeight="1" x14ac:dyDescent="0.4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</row>
    <row r="192" spans="1:80" ht="9.75" hidden="1" customHeight="1" x14ac:dyDescent="0.4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</row>
    <row r="193" spans="1:80" ht="9.75" hidden="1" customHeight="1" x14ac:dyDescent="0.4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</row>
    <row r="194" spans="1:80" ht="9.75" hidden="1" customHeight="1" x14ac:dyDescent="0.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</row>
    <row r="195" spans="1:80" ht="9.75" hidden="1" customHeight="1" x14ac:dyDescent="0.4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</row>
    <row r="196" spans="1:80" ht="9.75" hidden="1" customHeight="1" x14ac:dyDescent="0.4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</row>
    <row r="197" spans="1:80" ht="9.75" hidden="1" customHeight="1" x14ac:dyDescent="0.4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</row>
    <row r="198" spans="1:80" ht="9.75" hidden="1" customHeight="1" x14ac:dyDescent="0.4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</row>
    <row r="199" spans="1:80" ht="9.75" hidden="1" customHeight="1" x14ac:dyDescent="0.4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</row>
    <row r="200" spans="1:80" ht="9.75" hidden="1" customHeight="1" x14ac:dyDescent="0.4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</row>
    <row r="201" spans="1:80" ht="9.75" hidden="1" customHeight="1" x14ac:dyDescent="0.4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</row>
    <row r="202" spans="1:80" ht="9.75" hidden="1" customHeight="1" x14ac:dyDescent="0.4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</row>
    <row r="203" spans="1:80" ht="9.75" hidden="1" customHeight="1" x14ac:dyDescent="0.4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</row>
    <row r="204" spans="1:80" ht="9.75" hidden="1" customHeight="1" x14ac:dyDescent="0.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</row>
    <row r="205" spans="1:80" ht="9.75" hidden="1" customHeight="1" x14ac:dyDescent="0.4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</row>
    <row r="206" spans="1:80" ht="9.75" hidden="1" customHeight="1" x14ac:dyDescent="0.4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</row>
    <row r="207" spans="1:80" ht="9.75" hidden="1" customHeight="1" x14ac:dyDescent="0.4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</row>
    <row r="208" spans="1:80" ht="9.75" hidden="1" customHeight="1" x14ac:dyDescent="0.4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</row>
    <row r="209" spans="1:80" ht="9.75" hidden="1" customHeight="1" x14ac:dyDescent="0.4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</row>
    <row r="210" spans="1:80" ht="9.75" hidden="1" customHeight="1" x14ac:dyDescent="0.4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</row>
    <row r="211" spans="1:80" ht="9.75" hidden="1" customHeight="1" x14ac:dyDescent="0.4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</row>
    <row r="212" spans="1:80" ht="9.75" hidden="1" customHeight="1" x14ac:dyDescent="0.4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</row>
    <row r="213" spans="1:80" ht="9.75" hidden="1" customHeight="1" x14ac:dyDescent="0.4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</row>
    <row r="214" spans="1:80" ht="9.75" hidden="1" customHeight="1" x14ac:dyDescent="0.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</row>
    <row r="215" spans="1:80" ht="9.75" hidden="1" customHeight="1" x14ac:dyDescent="0.4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</row>
    <row r="216" spans="1:80" ht="9.75" hidden="1" customHeight="1" x14ac:dyDescent="0.4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</row>
    <row r="217" spans="1:80" ht="9.75" hidden="1" customHeight="1" x14ac:dyDescent="0.4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</row>
    <row r="218" spans="1:80" ht="9.75" hidden="1" customHeight="1" x14ac:dyDescent="0.4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</row>
    <row r="219" spans="1:80" ht="9.75" hidden="1" customHeight="1" x14ac:dyDescent="0.4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</row>
    <row r="220" spans="1:80" ht="9.75" hidden="1" customHeight="1" x14ac:dyDescent="0.4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</row>
    <row r="221" spans="1:80" ht="9.75" hidden="1" customHeight="1" x14ac:dyDescent="0.4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</row>
    <row r="222" spans="1:80" ht="9.75" hidden="1" customHeight="1" x14ac:dyDescent="0.4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</row>
    <row r="223" spans="1:80" ht="9.75" hidden="1" customHeight="1" x14ac:dyDescent="0.4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</row>
    <row r="224" spans="1:80" ht="9.75" hidden="1" customHeight="1" x14ac:dyDescent="0.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</row>
    <row r="225" spans="1:80" ht="9.75" hidden="1" customHeight="1" x14ac:dyDescent="0.4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</row>
    <row r="226" spans="1:80" ht="9.75" hidden="1" customHeight="1" x14ac:dyDescent="0.4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</row>
    <row r="227" spans="1:80" ht="9.75" hidden="1" customHeight="1" x14ac:dyDescent="0.4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</row>
    <row r="228" spans="1:80" ht="9.75" hidden="1" customHeight="1" x14ac:dyDescent="0.4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</row>
    <row r="229" spans="1:80" ht="9.75" hidden="1" customHeight="1" x14ac:dyDescent="0.4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</row>
    <row r="230" spans="1:80" ht="9.75" hidden="1" customHeight="1" x14ac:dyDescent="0.4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</row>
    <row r="231" spans="1:80" ht="9.75" hidden="1" customHeight="1" x14ac:dyDescent="0.4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</row>
    <row r="232" spans="1:80" ht="9.75" hidden="1" customHeight="1" x14ac:dyDescent="0.4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</row>
    <row r="233" spans="1:80" ht="9.75" hidden="1" customHeight="1" x14ac:dyDescent="0.4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</row>
    <row r="234" spans="1:80" ht="9.75" hidden="1" customHeight="1" x14ac:dyDescent="0.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</row>
    <row r="235" spans="1:80" ht="9.75" hidden="1" customHeight="1" x14ac:dyDescent="0.4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</row>
    <row r="236" spans="1:80" ht="9.75" hidden="1" customHeight="1" x14ac:dyDescent="0.4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</row>
    <row r="237" spans="1:80" ht="9.75" hidden="1" customHeight="1" x14ac:dyDescent="0.4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</row>
    <row r="238" spans="1:80" ht="9.75" hidden="1" customHeight="1" x14ac:dyDescent="0.4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</row>
    <row r="239" spans="1:80" ht="9.75" hidden="1" customHeight="1" x14ac:dyDescent="0.4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</row>
    <row r="240" spans="1:80" ht="9.75" hidden="1" customHeight="1" x14ac:dyDescent="0.4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</row>
    <row r="241" spans="1:80" ht="9.75" hidden="1" customHeight="1" x14ac:dyDescent="0.4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</row>
    <row r="242" spans="1:80" ht="9.75" hidden="1" customHeight="1" x14ac:dyDescent="0.4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</row>
    <row r="243" spans="1:80" ht="9.75" hidden="1" customHeight="1" x14ac:dyDescent="0.4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</row>
    <row r="244" spans="1:80" ht="9.75" hidden="1" customHeight="1" x14ac:dyDescent="0.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</row>
    <row r="245" spans="1:80" ht="9.75" hidden="1" customHeight="1" x14ac:dyDescent="0.4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</row>
    <row r="246" spans="1:80" ht="9.75" hidden="1" customHeight="1" x14ac:dyDescent="0.4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</row>
    <row r="247" spans="1:80" ht="9.75" hidden="1" customHeight="1" x14ac:dyDescent="0.4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</row>
    <row r="248" spans="1:80" ht="9.75" hidden="1" customHeight="1" x14ac:dyDescent="0.4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</row>
    <row r="249" spans="1:80" ht="9.75" hidden="1" customHeight="1" x14ac:dyDescent="0.4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</row>
    <row r="250" spans="1:80" ht="9.75" hidden="1" customHeight="1" x14ac:dyDescent="0.4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</row>
    <row r="251" spans="1:80" ht="9.75" hidden="1" customHeight="1" x14ac:dyDescent="0.4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</row>
    <row r="252" spans="1:80" ht="9.75" hidden="1" customHeight="1" x14ac:dyDescent="0.4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</row>
    <row r="253" spans="1:80" ht="9.75" hidden="1" customHeight="1" x14ac:dyDescent="0.4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</row>
    <row r="254" spans="1:80" ht="9.75" hidden="1" customHeight="1" x14ac:dyDescent="0.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</row>
    <row r="255" spans="1:80" ht="9.75" hidden="1" customHeight="1" x14ac:dyDescent="0.4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</row>
    <row r="256" spans="1:80" ht="9.75" hidden="1" customHeight="1" x14ac:dyDescent="0.4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</row>
    <row r="257" spans="1:80" ht="9.75" hidden="1" customHeight="1" x14ac:dyDescent="0.4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</row>
    <row r="258" spans="1:80" ht="9.75" hidden="1" customHeight="1" x14ac:dyDescent="0.4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</row>
    <row r="259" spans="1:80" ht="9.75" hidden="1" customHeight="1" x14ac:dyDescent="0.4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</row>
    <row r="260" spans="1:80" ht="9.75" hidden="1" customHeight="1" x14ac:dyDescent="0.4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</row>
    <row r="261" spans="1:80" ht="9.75" hidden="1" customHeight="1" x14ac:dyDescent="0.4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</row>
    <row r="262" spans="1:80" ht="9.75" hidden="1" customHeight="1" x14ac:dyDescent="0.4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</row>
    <row r="263" spans="1:80" ht="9.75" hidden="1" customHeight="1" x14ac:dyDescent="0.4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</row>
    <row r="264" spans="1:80" ht="9.75" hidden="1" customHeight="1" x14ac:dyDescent="0.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</row>
    <row r="265" spans="1:80" ht="9.75" hidden="1" customHeight="1" x14ac:dyDescent="0.4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</row>
    <row r="266" spans="1:80" ht="9.75" hidden="1" customHeight="1" x14ac:dyDescent="0.4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</row>
    <row r="267" spans="1:80" ht="9.75" hidden="1" customHeight="1" x14ac:dyDescent="0.4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</row>
    <row r="268" spans="1:80" ht="9.75" hidden="1" customHeight="1" x14ac:dyDescent="0.4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</row>
    <row r="269" spans="1:80" ht="9.75" hidden="1" customHeight="1" x14ac:dyDescent="0.4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</row>
    <row r="270" spans="1:80" ht="9.75" hidden="1" customHeight="1" x14ac:dyDescent="0.4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</row>
    <row r="271" spans="1:80" ht="9.75" hidden="1" customHeight="1" x14ac:dyDescent="0.4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</row>
    <row r="272" spans="1:80" ht="9.75" hidden="1" customHeight="1" x14ac:dyDescent="0.4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</row>
    <row r="273" spans="1:80" ht="9.75" hidden="1" customHeight="1" x14ac:dyDescent="0.4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</row>
    <row r="274" spans="1:80" ht="9.75" hidden="1" customHeight="1" x14ac:dyDescent="0.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</row>
    <row r="275" spans="1:80" ht="9.75" hidden="1" customHeight="1" x14ac:dyDescent="0.4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</row>
    <row r="276" spans="1:80" ht="9.75" hidden="1" customHeight="1" x14ac:dyDescent="0.4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</row>
    <row r="277" spans="1:80" ht="9.75" hidden="1" customHeight="1" x14ac:dyDescent="0.4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</row>
    <row r="278" spans="1:80" ht="9.75" hidden="1" customHeight="1" x14ac:dyDescent="0.4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</row>
    <row r="279" spans="1:80" ht="9.75" hidden="1" customHeight="1" x14ac:dyDescent="0.4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</row>
    <row r="280" spans="1:80" ht="9.75" hidden="1" customHeight="1" x14ac:dyDescent="0.4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</row>
    <row r="281" spans="1:80" ht="9.75" hidden="1" customHeight="1" x14ac:dyDescent="0.4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</row>
    <row r="282" spans="1:80" ht="9.75" hidden="1" customHeight="1" x14ac:dyDescent="0.4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</row>
    <row r="283" spans="1:80" ht="9.75" hidden="1" customHeight="1" x14ac:dyDescent="0.4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</row>
    <row r="284" spans="1:80" ht="9.75" hidden="1" customHeight="1" x14ac:dyDescent="0.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</row>
    <row r="285" spans="1:80" ht="9.75" hidden="1" customHeight="1" x14ac:dyDescent="0.4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</row>
    <row r="286" spans="1:80" ht="9.75" hidden="1" customHeight="1" x14ac:dyDescent="0.4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</row>
    <row r="287" spans="1:80" ht="9.75" hidden="1" customHeight="1" x14ac:dyDescent="0.4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</row>
    <row r="288" spans="1:80" ht="9.75" hidden="1" customHeight="1" x14ac:dyDescent="0.4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</row>
    <row r="289" spans="1:80" ht="9.75" hidden="1" customHeight="1" x14ac:dyDescent="0.4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</row>
    <row r="290" spans="1:80" ht="9.75" hidden="1" customHeight="1" x14ac:dyDescent="0.4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</row>
    <row r="291" spans="1:80" ht="9.75" hidden="1" customHeight="1" x14ac:dyDescent="0.4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</row>
    <row r="292" spans="1:80" ht="9.75" hidden="1" customHeight="1" x14ac:dyDescent="0.4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</row>
    <row r="293" spans="1:80" ht="9.75" hidden="1" customHeight="1" x14ac:dyDescent="0.4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</row>
    <row r="294" spans="1:80" ht="9.75" hidden="1" customHeight="1" x14ac:dyDescent="0.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</row>
    <row r="295" spans="1:80" ht="9.75" hidden="1" customHeight="1" x14ac:dyDescent="0.4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</row>
    <row r="296" spans="1:80" ht="9.75" hidden="1" customHeight="1" x14ac:dyDescent="0.4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</row>
    <row r="297" spans="1:80" ht="9.75" hidden="1" customHeight="1" x14ac:dyDescent="0.4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</row>
    <row r="298" spans="1:80" ht="9.75" hidden="1" customHeight="1" x14ac:dyDescent="0.4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</row>
    <row r="299" spans="1:80" ht="9.75" hidden="1" customHeight="1" x14ac:dyDescent="0.4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</row>
    <row r="300" spans="1:80" ht="9.75" hidden="1" customHeight="1" x14ac:dyDescent="0.4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</row>
    <row r="301" spans="1:80" ht="9.75" hidden="1" customHeight="1" x14ac:dyDescent="0.4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</row>
    <row r="302" spans="1:80" ht="9.75" hidden="1" customHeight="1" x14ac:dyDescent="0.4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</row>
    <row r="303" spans="1:80" ht="9.75" hidden="1" customHeight="1" x14ac:dyDescent="0.4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</row>
    <row r="304" spans="1:80" ht="9.75" hidden="1" customHeight="1" x14ac:dyDescent="0.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</row>
    <row r="305" spans="1:80" ht="9.75" hidden="1" customHeight="1" x14ac:dyDescent="0.4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</row>
    <row r="306" spans="1:80" ht="9.75" hidden="1" customHeight="1" x14ac:dyDescent="0.4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</row>
    <row r="307" spans="1:80" ht="9.75" hidden="1" customHeight="1" x14ac:dyDescent="0.4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</row>
    <row r="308" spans="1:80" ht="9.75" hidden="1" customHeight="1" x14ac:dyDescent="0.4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</row>
    <row r="309" spans="1:80" ht="9.75" hidden="1" customHeight="1" x14ac:dyDescent="0.4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</row>
    <row r="310" spans="1:80" ht="9.75" hidden="1" customHeight="1" x14ac:dyDescent="0.4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</row>
    <row r="311" spans="1:80" ht="9.75" hidden="1" customHeight="1" x14ac:dyDescent="0.4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</row>
    <row r="312" spans="1:80" ht="9.75" hidden="1" customHeight="1" x14ac:dyDescent="0.4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</row>
    <row r="313" spans="1:80" ht="9.75" hidden="1" customHeight="1" x14ac:dyDescent="0.4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</row>
    <row r="314" spans="1:80" ht="9.75" hidden="1" customHeight="1" x14ac:dyDescent="0.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</row>
    <row r="315" spans="1:80" ht="9.75" hidden="1" customHeight="1" x14ac:dyDescent="0.4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</row>
    <row r="316" spans="1:80" ht="9.75" hidden="1" customHeight="1" x14ac:dyDescent="0.4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</row>
    <row r="317" spans="1:80" ht="9.75" hidden="1" customHeight="1" x14ac:dyDescent="0.4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</row>
    <row r="318" spans="1:80" ht="9.75" hidden="1" customHeight="1" x14ac:dyDescent="0.4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</row>
    <row r="319" spans="1:80" ht="9.75" hidden="1" customHeight="1" x14ac:dyDescent="0.4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</row>
    <row r="320" spans="1:80" ht="9.75" hidden="1" customHeight="1" x14ac:dyDescent="0.4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</row>
    <row r="321" spans="1:80" ht="9.75" hidden="1" customHeight="1" x14ac:dyDescent="0.4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</row>
    <row r="322" spans="1:80" ht="9.75" hidden="1" customHeight="1" x14ac:dyDescent="0.4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</row>
    <row r="323" spans="1:80" ht="9.75" hidden="1" customHeight="1" x14ac:dyDescent="0.4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</row>
    <row r="324" spans="1:80" ht="9.75" hidden="1" customHeight="1" x14ac:dyDescent="0.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</row>
    <row r="325" spans="1:80" ht="9.75" hidden="1" customHeight="1" x14ac:dyDescent="0.4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</row>
    <row r="326" spans="1:80" ht="9.75" hidden="1" customHeight="1" x14ac:dyDescent="0.4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</row>
    <row r="327" spans="1:80" ht="9.75" hidden="1" customHeight="1" x14ac:dyDescent="0.4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</row>
    <row r="328" spans="1:80" ht="9.75" hidden="1" customHeight="1" x14ac:dyDescent="0.4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</row>
    <row r="329" spans="1:80" ht="9.75" hidden="1" customHeight="1" x14ac:dyDescent="0.4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</row>
    <row r="330" spans="1:80" ht="9.75" hidden="1" customHeight="1" x14ac:dyDescent="0.4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</row>
    <row r="331" spans="1:80" ht="9.75" hidden="1" customHeight="1" x14ac:dyDescent="0.4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</row>
    <row r="332" spans="1:80" ht="9.75" hidden="1" customHeight="1" x14ac:dyDescent="0.4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</row>
    <row r="333" spans="1:80" ht="9.75" hidden="1" customHeight="1" x14ac:dyDescent="0.4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</row>
    <row r="334" spans="1:80" ht="9.75" hidden="1" customHeight="1" x14ac:dyDescent="0.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</row>
    <row r="335" spans="1:80" ht="9.75" hidden="1" customHeight="1" x14ac:dyDescent="0.4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</row>
    <row r="336" spans="1:80" ht="9.75" hidden="1" customHeight="1" x14ac:dyDescent="0.4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</row>
    <row r="337" spans="1:80" ht="9.75" hidden="1" customHeight="1" x14ac:dyDescent="0.4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</row>
    <row r="338" spans="1:80" ht="9.75" hidden="1" customHeight="1" x14ac:dyDescent="0.4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</row>
    <row r="339" spans="1:80" ht="9.75" hidden="1" customHeight="1" x14ac:dyDescent="0.4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</row>
    <row r="340" spans="1:80" ht="9.75" hidden="1" customHeight="1" x14ac:dyDescent="0.4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</row>
    <row r="341" spans="1:80" ht="9.75" hidden="1" customHeight="1" x14ac:dyDescent="0.4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</row>
    <row r="342" spans="1:80" ht="9.75" hidden="1" customHeight="1" x14ac:dyDescent="0.4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</row>
    <row r="343" spans="1:80" ht="9.75" hidden="1" customHeight="1" x14ac:dyDescent="0.4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</row>
    <row r="344" spans="1:80" ht="9.75" hidden="1" customHeight="1" x14ac:dyDescent="0.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</row>
    <row r="345" spans="1:80" ht="9.75" hidden="1" customHeight="1" x14ac:dyDescent="0.4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</row>
    <row r="346" spans="1:80" ht="9.75" hidden="1" customHeight="1" x14ac:dyDescent="0.4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</row>
    <row r="347" spans="1:80" ht="9.75" hidden="1" customHeight="1" x14ac:dyDescent="0.4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</row>
    <row r="348" spans="1:80" ht="9.75" hidden="1" customHeight="1" x14ac:dyDescent="0.4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</row>
    <row r="349" spans="1:80" ht="9.75" hidden="1" customHeight="1" x14ac:dyDescent="0.4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</row>
    <row r="350" spans="1:80" ht="9.75" hidden="1" customHeight="1" x14ac:dyDescent="0.4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</row>
    <row r="351" spans="1:80" ht="9.75" hidden="1" customHeight="1" x14ac:dyDescent="0.4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</row>
    <row r="352" spans="1:80" ht="9.75" hidden="1" customHeight="1" x14ac:dyDescent="0.4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</row>
    <row r="353" spans="1:80" ht="9.75" hidden="1" customHeight="1" x14ac:dyDescent="0.4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</row>
    <row r="354" spans="1:80" ht="9.75" hidden="1" customHeight="1" x14ac:dyDescent="0.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</row>
    <row r="355" spans="1:80" ht="9.75" hidden="1" customHeight="1" x14ac:dyDescent="0.4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</row>
    <row r="356" spans="1:80" ht="9.75" hidden="1" customHeight="1" x14ac:dyDescent="0.4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</row>
    <row r="357" spans="1:80" ht="9.75" hidden="1" customHeight="1" x14ac:dyDescent="0.4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</row>
    <row r="358" spans="1:80" ht="9.75" hidden="1" customHeight="1" x14ac:dyDescent="0.4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</row>
    <row r="359" spans="1:80" ht="9.75" hidden="1" customHeight="1" x14ac:dyDescent="0.4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</row>
    <row r="360" spans="1:80" ht="9.75" hidden="1" customHeight="1" x14ac:dyDescent="0.4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</row>
    <row r="361" spans="1:80" ht="9.75" hidden="1" customHeight="1" x14ac:dyDescent="0.4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</row>
    <row r="362" spans="1:80" ht="9.75" hidden="1" customHeight="1" x14ac:dyDescent="0.4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</row>
    <row r="363" spans="1:80" ht="9.75" hidden="1" customHeight="1" x14ac:dyDescent="0.4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</row>
    <row r="364" spans="1:80" ht="9.75" hidden="1" customHeight="1" x14ac:dyDescent="0.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</row>
    <row r="365" spans="1:80" ht="9.75" hidden="1" customHeight="1" x14ac:dyDescent="0.4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</row>
    <row r="366" spans="1:80" ht="9.75" hidden="1" customHeight="1" x14ac:dyDescent="0.4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</row>
    <row r="367" spans="1:80" ht="9.75" hidden="1" customHeight="1" x14ac:dyDescent="0.4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</row>
    <row r="368" spans="1:80" ht="9.75" hidden="1" customHeight="1" x14ac:dyDescent="0.4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</row>
    <row r="369" spans="1:80" ht="9.75" hidden="1" customHeight="1" x14ac:dyDescent="0.4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</row>
    <row r="370" spans="1:80" ht="9.75" hidden="1" customHeight="1" x14ac:dyDescent="0.4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</row>
    <row r="371" spans="1:80" ht="9.75" hidden="1" customHeight="1" x14ac:dyDescent="0.4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</row>
    <row r="372" spans="1:80" ht="9.75" hidden="1" customHeight="1" x14ac:dyDescent="0.4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</row>
    <row r="373" spans="1:80" ht="9.75" hidden="1" customHeight="1" x14ac:dyDescent="0.4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</row>
    <row r="374" spans="1:80" ht="9.75" hidden="1" customHeight="1" x14ac:dyDescent="0.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</row>
    <row r="375" spans="1:80" ht="9.75" hidden="1" customHeight="1" x14ac:dyDescent="0.4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</row>
    <row r="376" spans="1:80" ht="9.75" hidden="1" customHeight="1" x14ac:dyDescent="0.4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</row>
    <row r="377" spans="1:80" ht="9.75" hidden="1" customHeight="1" x14ac:dyDescent="0.4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</row>
    <row r="378" spans="1:80" ht="9.75" hidden="1" customHeight="1" x14ac:dyDescent="0.4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</row>
    <row r="379" spans="1:80" ht="9.75" hidden="1" customHeight="1" x14ac:dyDescent="0.4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</row>
    <row r="380" spans="1:80" ht="9.75" hidden="1" customHeight="1" x14ac:dyDescent="0.4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</row>
    <row r="381" spans="1:80" ht="9.75" hidden="1" customHeight="1" x14ac:dyDescent="0.4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</row>
    <row r="382" spans="1:80" ht="9.75" hidden="1" customHeight="1" x14ac:dyDescent="0.4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</row>
    <row r="383" spans="1:80" ht="9.75" hidden="1" customHeight="1" x14ac:dyDescent="0.4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</row>
    <row r="384" spans="1:80" ht="9.75" hidden="1" customHeight="1" x14ac:dyDescent="0.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</row>
    <row r="385" spans="1:80" ht="9.75" hidden="1" customHeight="1" x14ac:dyDescent="0.4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</row>
    <row r="386" spans="1:80" ht="9.75" hidden="1" customHeight="1" x14ac:dyDescent="0.4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</row>
    <row r="387" spans="1:80" ht="9.75" hidden="1" customHeight="1" x14ac:dyDescent="0.4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</row>
    <row r="388" spans="1:80" ht="9.75" hidden="1" customHeight="1" x14ac:dyDescent="0.4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</row>
    <row r="389" spans="1:80" ht="9.75" hidden="1" customHeight="1" x14ac:dyDescent="0.4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</row>
    <row r="390" spans="1:80" ht="9.75" hidden="1" customHeight="1" x14ac:dyDescent="0.4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</row>
    <row r="391" spans="1:80" ht="9.75" hidden="1" customHeight="1" x14ac:dyDescent="0.4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</row>
    <row r="392" spans="1:80" ht="9.75" hidden="1" customHeight="1" x14ac:dyDescent="0.4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</row>
    <row r="393" spans="1:80" ht="9.75" hidden="1" customHeight="1" x14ac:dyDescent="0.4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</row>
    <row r="394" spans="1:80" ht="9.75" hidden="1" customHeight="1" x14ac:dyDescent="0.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</row>
    <row r="395" spans="1:80" ht="9.75" hidden="1" customHeight="1" x14ac:dyDescent="0.4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</row>
    <row r="396" spans="1:80" ht="9.75" hidden="1" customHeight="1" x14ac:dyDescent="0.4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</row>
    <row r="397" spans="1:80" ht="9.75" hidden="1" customHeight="1" x14ac:dyDescent="0.4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</row>
    <row r="398" spans="1:80" ht="9.75" hidden="1" customHeight="1" x14ac:dyDescent="0.4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</row>
    <row r="399" spans="1:80" ht="9.75" hidden="1" customHeight="1" x14ac:dyDescent="0.4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</row>
    <row r="400" spans="1:80" ht="9.75" hidden="1" customHeight="1" x14ac:dyDescent="0.4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</row>
    <row r="401" spans="1:80" ht="9.75" hidden="1" customHeight="1" x14ac:dyDescent="0.4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</row>
    <row r="402" spans="1:80" ht="9.75" hidden="1" customHeight="1" x14ac:dyDescent="0.4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</row>
    <row r="403" spans="1:80" ht="9.75" hidden="1" customHeight="1" x14ac:dyDescent="0.4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</row>
    <row r="404" spans="1:80" ht="9.75" hidden="1" customHeight="1" x14ac:dyDescent="0.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</row>
    <row r="405" spans="1:80" ht="9.75" hidden="1" customHeight="1" x14ac:dyDescent="0.4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</row>
    <row r="406" spans="1:80" ht="9.75" hidden="1" customHeight="1" x14ac:dyDescent="0.4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</row>
    <row r="407" spans="1:80" ht="9.75" hidden="1" customHeight="1" x14ac:dyDescent="0.4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</row>
    <row r="408" spans="1:80" ht="9.75" hidden="1" customHeight="1" x14ac:dyDescent="0.4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</row>
    <row r="409" spans="1:80" ht="9.75" hidden="1" customHeight="1" x14ac:dyDescent="0.4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</row>
    <row r="410" spans="1:80" ht="9.75" hidden="1" customHeight="1" x14ac:dyDescent="0.4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</row>
    <row r="411" spans="1:80" ht="9.75" hidden="1" customHeight="1" x14ac:dyDescent="0.4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</row>
    <row r="412" spans="1:80" ht="9.75" hidden="1" customHeight="1" x14ac:dyDescent="0.4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</row>
    <row r="413" spans="1:80" ht="9.75" hidden="1" customHeight="1" x14ac:dyDescent="0.4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</row>
    <row r="414" spans="1:80" ht="9.75" hidden="1" customHeight="1" x14ac:dyDescent="0.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</row>
    <row r="415" spans="1:80" ht="9.75" hidden="1" customHeight="1" x14ac:dyDescent="0.4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</row>
    <row r="416" spans="1:80" ht="9.75" hidden="1" customHeight="1" x14ac:dyDescent="0.4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</row>
    <row r="417" spans="1:80" ht="9.75" hidden="1" customHeight="1" x14ac:dyDescent="0.4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</row>
    <row r="418" spans="1:80" ht="9.75" hidden="1" customHeight="1" x14ac:dyDescent="0.4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</row>
    <row r="419" spans="1:80" ht="9.75" hidden="1" customHeight="1" x14ac:dyDescent="0.4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</row>
    <row r="420" spans="1:80" ht="9.75" hidden="1" customHeight="1" x14ac:dyDescent="0.4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</row>
    <row r="421" spans="1:80" ht="9.75" hidden="1" customHeight="1" x14ac:dyDescent="0.4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</row>
    <row r="422" spans="1:80" ht="9.75" hidden="1" customHeight="1" x14ac:dyDescent="0.4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</row>
    <row r="423" spans="1:80" ht="9.75" hidden="1" customHeight="1" x14ac:dyDescent="0.4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</row>
    <row r="424" spans="1:80" ht="9.75" hidden="1" customHeight="1" x14ac:dyDescent="0.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</row>
    <row r="425" spans="1:80" ht="9.75" hidden="1" customHeight="1" x14ac:dyDescent="0.4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</row>
    <row r="426" spans="1:80" ht="9.75" hidden="1" customHeight="1" x14ac:dyDescent="0.4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</row>
    <row r="427" spans="1:80" ht="9.75" hidden="1" customHeight="1" x14ac:dyDescent="0.4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</row>
    <row r="428" spans="1:80" ht="9.75" hidden="1" customHeight="1" x14ac:dyDescent="0.4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</row>
    <row r="429" spans="1:80" ht="9.75" hidden="1" customHeight="1" x14ac:dyDescent="0.4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</row>
    <row r="430" spans="1:80" ht="9.75" hidden="1" customHeight="1" x14ac:dyDescent="0.4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</row>
    <row r="431" spans="1:80" ht="9.75" hidden="1" customHeight="1" x14ac:dyDescent="0.4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</row>
    <row r="432" spans="1:80" ht="9.75" hidden="1" customHeight="1" x14ac:dyDescent="0.4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</row>
    <row r="433" spans="1:80" ht="9.75" hidden="1" customHeight="1" x14ac:dyDescent="0.4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</row>
    <row r="434" spans="1:80" ht="9.75" hidden="1" customHeight="1" x14ac:dyDescent="0.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</row>
    <row r="435" spans="1:80" ht="9.75" hidden="1" customHeight="1" x14ac:dyDescent="0.4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</row>
    <row r="436" spans="1:80" ht="9.75" hidden="1" customHeight="1" x14ac:dyDescent="0.4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</row>
    <row r="437" spans="1:80" ht="9.75" hidden="1" customHeight="1" x14ac:dyDescent="0.4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</row>
    <row r="438" spans="1:80" ht="9.75" hidden="1" customHeight="1" x14ac:dyDescent="0.4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</row>
    <row r="439" spans="1:80" ht="9.75" hidden="1" customHeight="1" x14ac:dyDescent="0.4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</row>
    <row r="440" spans="1:80" ht="9.75" hidden="1" customHeight="1" x14ac:dyDescent="0.4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</row>
    <row r="441" spans="1:80" ht="9.75" hidden="1" customHeight="1" x14ac:dyDescent="0.4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</row>
    <row r="442" spans="1:80" ht="9.75" hidden="1" customHeight="1" x14ac:dyDescent="0.4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</row>
    <row r="443" spans="1:80" ht="9.75" hidden="1" customHeight="1" x14ac:dyDescent="0.4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</row>
    <row r="444" spans="1:80" ht="9.75" hidden="1" customHeight="1" x14ac:dyDescent="0.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</row>
    <row r="445" spans="1:80" ht="9.75" hidden="1" customHeight="1" x14ac:dyDescent="0.4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</row>
    <row r="446" spans="1:80" ht="9.75" hidden="1" customHeight="1" x14ac:dyDescent="0.4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</row>
    <row r="447" spans="1:80" ht="9.75" hidden="1" customHeight="1" x14ac:dyDescent="0.4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</row>
    <row r="448" spans="1:80" ht="9.75" hidden="1" customHeight="1" x14ac:dyDescent="0.4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</row>
    <row r="449" spans="1:80" ht="9.75" hidden="1" customHeight="1" x14ac:dyDescent="0.4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</row>
    <row r="450" spans="1:80" ht="9.75" hidden="1" customHeight="1" x14ac:dyDescent="0.4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</row>
    <row r="451" spans="1:80" ht="9.75" hidden="1" customHeight="1" x14ac:dyDescent="0.4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</row>
    <row r="452" spans="1:80" ht="9.75" hidden="1" customHeight="1" x14ac:dyDescent="0.4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</row>
    <row r="453" spans="1:80" ht="9.75" hidden="1" customHeight="1" x14ac:dyDescent="0.4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</row>
    <row r="454" spans="1:80" ht="9.75" hidden="1" customHeight="1" x14ac:dyDescent="0.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</row>
    <row r="455" spans="1:80" ht="9.75" hidden="1" customHeight="1" x14ac:dyDescent="0.4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</row>
    <row r="456" spans="1:80" ht="9.75" hidden="1" customHeight="1" x14ac:dyDescent="0.4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</row>
    <row r="457" spans="1:80" ht="9.75" hidden="1" customHeight="1" x14ac:dyDescent="0.4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</row>
    <row r="458" spans="1:80" ht="9.75" hidden="1" customHeight="1" x14ac:dyDescent="0.4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</row>
    <row r="459" spans="1:80" ht="9.75" hidden="1" customHeight="1" x14ac:dyDescent="0.4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</row>
    <row r="460" spans="1:80" ht="9.75" hidden="1" customHeight="1" x14ac:dyDescent="0.4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</row>
    <row r="461" spans="1:80" ht="9.75" hidden="1" customHeight="1" x14ac:dyDescent="0.4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</row>
    <row r="462" spans="1:80" ht="9.75" hidden="1" customHeight="1" x14ac:dyDescent="0.4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</row>
    <row r="463" spans="1:80" ht="9.75" hidden="1" customHeight="1" x14ac:dyDescent="0.4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</row>
    <row r="464" spans="1:80" ht="9.75" hidden="1" customHeight="1" x14ac:dyDescent="0.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</row>
    <row r="465" spans="1:80" ht="9.75" hidden="1" customHeight="1" x14ac:dyDescent="0.4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</row>
    <row r="466" spans="1:80" ht="9.75" hidden="1" customHeight="1" x14ac:dyDescent="0.4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</row>
    <row r="467" spans="1:80" ht="9.75" hidden="1" customHeight="1" x14ac:dyDescent="0.4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</row>
    <row r="468" spans="1:80" ht="9.75" hidden="1" customHeight="1" x14ac:dyDescent="0.4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</row>
    <row r="469" spans="1:80" ht="9.75" hidden="1" customHeight="1" x14ac:dyDescent="0.4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</row>
    <row r="470" spans="1:80" ht="9.75" hidden="1" customHeight="1" x14ac:dyDescent="0.4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</row>
    <row r="471" spans="1:80" ht="9.75" hidden="1" customHeight="1" x14ac:dyDescent="0.4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</row>
    <row r="472" spans="1:80" ht="9.75" hidden="1" customHeight="1" x14ac:dyDescent="0.4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</row>
    <row r="473" spans="1:80" ht="9.75" hidden="1" customHeight="1" x14ac:dyDescent="0.4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</row>
    <row r="474" spans="1:80" ht="9.75" hidden="1" customHeight="1" x14ac:dyDescent="0.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</row>
    <row r="475" spans="1:80" ht="9.75" hidden="1" customHeight="1" x14ac:dyDescent="0.4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</row>
    <row r="476" spans="1:80" ht="9.75" hidden="1" customHeight="1" x14ac:dyDescent="0.4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</row>
    <row r="477" spans="1:80" ht="9.75" hidden="1" customHeight="1" x14ac:dyDescent="0.4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</row>
    <row r="478" spans="1:80" ht="9.75" hidden="1" customHeight="1" x14ac:dyDescent="0.4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</row>
    <row r="479" spans="1:80" ht="9.75" hidden="1" customHeight="1" x14ac:dyDescent="0.4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</row>
    <row r="480" spans="1:80" ht="9.75" hidden="1" customHeight="1" x14ac:dyDescent="0.4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</row>
    <row r="481" spans="1:80" ht="9.75" hidden="1" customHeight="1" x14ac:dyDescent="0.4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</row>
    <row r="482" spans="1:80" ht="9.75" hidden="1" customHeight="1" x14ac:dyDescent="0.4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</row>
    <row r="483" spans="1:80" ht="9.75" hidden="1" customHeight="1" x14ac:dyDescent="0.4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</row>
    <row r="484" spans="1:80" ht="9.75" hidden="1" customHeight="1" x14ac:dyDescent="0.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</row>
    <row r="485" spans="1:80" ht="9.75" hidden="1" customHeight="1" x14ac:dyDescent="0.4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</row>
    <row r="486" spans="1:80" ht="9.75" hidden="1" customHeight="1" x14ac:dyDescent="0.4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</row>
    <row r="487" spans="1:80" ht="9.75" hidden="1" customHeight="1" x14ac:dyDescent="0.4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</row>
    <row r="488" spans="1:80" ht="9.75" hidden="1" customHeight="1" x14ac:dyDescent="0.4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</row>
    <row r="489" spans="1:80" ht="9.75" hidden="1" customHeight="1" x14ac:dyDescent="0.4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</row>
    <row r="490" spans="1:80" ht="9.75" hidden="1" customHeight="1" x14ac:dyDescent="0.4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</row>
    <row r="491" spans="1:80" ht="9.75" hidden="1" customHeight="1" x14ac:dyDescent="0.4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</row>
    <row r="492" spans="1:80" ht="9.75" hidden="1" customHeight="1" x14ac:dyDescent="0.4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</row>
    <row r="493" spans="1:80" ht="9.75" hidden="1" customHeight="1" x14ac:dyDescent="0.4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</row>
    <row r="494" spans="1:80" ht="9.75" hidden="1" customHeight="1" x14ac:dyDescent="0.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</row>
    <row r="495" spans="1:80" ht="9.75" hidden="1" customHeight="1" x14ac:dyDescent="0.4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</row>
    <row r="496" spans="1:80" ht="9.75" hidden="1" customHeight="1" x14ac:dyDescent="0.4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</row>
    <row r="497" spans="1:80" ht="9.75" hidden="1" customHeight="1" x14ac:dyDescent="0.4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</row>
    <row r="498" spans="1:80" ht="9.75" hidden="1" customHeight="1" x14ac:dyDescent="0.4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</row>
    <row r="499" spans="1:80" ht="9.75" hidden="1" customHeight="1" x14ac:dyDescent="0.4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</row>
    <row r="500" spans="1:80" ht="9.75" hidden="1" customHeight="1" x14ac:dyDescent="0.4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</row>
    <row r="501" spans="1:80" ht="9.75" hidden="1" customHeight="1" x14ac:dyDescent="0.4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</row>
    <row r="502" spans="1:80" ht="9.75" hidden="1" customHeight="1" x14ac:dyDescent="0.4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</row>
    <row r="503" spans="1:80" ht="9.75" hidden="1" customHeight="1" x14ac:dyDescent="0.4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</row>
    <row r="504" spans="1:80" ht="9.75" hidden="1" customHeight="1" x14ac:dyDescent="0.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</row>
    <row r="505" spans="1:80" ht="9.75" hidden="1" customHeight="1" x14ac:dyDescent="0.4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</row>
    <row r="506" spans="1:80" ht="9.75" hidden="1" customHeight="1" x14ac:dyDescent="0.4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</row>
    <row r="507" spans="1:80" ht="9.75" hidden="1" customHeight="1" x14ac:dyDescent="0.4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</row>
    <row r="508" spans="1:80" ht="9.75" hidden="1" customHeight="1" x14ac:dyDescent="0.4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</row>
    <row r="509" spans="1:80" ht="9.75" hidden="1" customHeight="1" x14ac:dyDescent="0.4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</row>
    <row r="510" spans="1:80" ht="9.75" hidden="1" customHeight="1" x14ac:dyDescent="0.4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</row>
    <row r="511" spans="1:80" ht="9.75" hidden="1" customHeight="1" x14ac:dyDescent="0.4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</row>
    <row r="512" spans="1:80" ht="9.75" hidden="1" customHeight="1" x14ac:dyDescent="0.4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</row>
    <row r="513" spans="1:80" ht="9.75" hidden="1" customHeight="1" x14ac:dyDescent="0.4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</row>
    <row r="514" spans="1:80" ht="9.75" hidden="1" customHeight="1" x14ac:dyDescent="0.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</row>
    <row r="515" spans="1:80" ht="9.75" hidden="1" customHeight="1" x14ac:dyDescent="0.4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</row>
    <row r="516" spans="1:80" ht="9.75" hidden="1" customHeight="1" x14ac:dyDescent="0.4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</row>
    <row r="517" spans="1:80" ht="9.75" hidden="1" customHeight="1" x14ac:dyDescent="0.4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</row>
    <row r="518" spans="1:80" ht="9.75" hidden="1" customHeight="1" x14ac:dyDescent="0.4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</row>
    <row r="519" spans="1:80" ht="9.75" hidden="1" customHeight="1" x14ac:dyDescent="0.4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</row>
    <row r="520" spans="1:80" ht="9.75" hidden="1" customHeight="1" x14ac:dyDescent="0.4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</row>
    <row r="521" spans="1:80" ht="9.75" hidden="1" customHeight="1" x14ac:dyDescent="0.4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</row>
    <row r="522" spans="1:80" ht="9.75" hidden="1" customHeight="1" x14ac:dyDescent="0.4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</row>
    <row r="523" spans="1:80" ht="9.75" hidden="1" customHeight="1" x14ac:dyDescent="0.4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</row>
    <row r="524" spans="1:80" ht="9.75" hidden="1" customHeight="1" x14ac:dyDescent="0.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</row>
    <row r="525" spans="1:80" ht="9.75" hidden="1" customHeight="1" x14ac:dyDescent="0.4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</row>
    <row r="526" spans="1:80" ht="9.75" hidden="1" customHeight="1" x14ac:dyDescent="0.4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</row>
    <row r="527" spans="1:80" ht="9.75" hidden="1" customHeight="1" x14ac:dyDescent="0.4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</row>
    <row r="528" spans="1:80" ht="9.75" hidden="1" customHeight="1" x14ac:dyDescent="0.4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</row>
    <row r="529" spans="1:80" ht="9.75" hidden="1" customHeight="1" x14ac:dyDescent="0.4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</row>
    <row r="530" spans="1:80" ht="9.75" hidden="1" customHeight="1" x14ac:dyDescent="0.4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</row>
    <row r="531" spans="1:80" ht="9.75" hidden="1" customHeight="1" x14ac:dyDescent="0.4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</row>
    <row r="532" spans="1:80" ht="9.75" hidden="1" customHeight="1" x14ac:dyDescent="0.4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</row>
    <row r="533" spans="1:80" ht="9.75" hidden="1" customHeight="1" x14ac:dyDescent="0.4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</row>
    <row r="534" spans="1:80" ht="9.75" hidden="1" customHeight="1" x14ac:dyDescent="0.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</row>
    <row r="535" spans="1:80" ht="9.75" hidden="1" customHeight="1" x14ac:dyDescent="0.4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</row>
    <row r="536" spans="1:80" ht="9.75" hidden="1" customHeight="1" x14ac:dyDescent="0.4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</row>
    <row r="537" spans="1:80" ht="9.75" hidden="1" customHeight="1" x14ac:dyDescent="0.4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</row>
    <row r="538" spans="1:80" ht="9.75" hidden="1" customHeight="1" x14ac:dyDescent="0.4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</row>
    <row r="539" spans="1:80" ht="9.75" hidden="1" customHeight="1" x14ac:dyDescent="0.4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</row>
    <row r="540" spans="1:80" ht="9.75" hidden="1" customHeight="1" x14ac:dyDescent="0.4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</row>
    <row r="541" spans="1:80" ht="9.75" hidden="1" customHeight="1" x14ac:dyDescent="0.4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</row>
    <row r="542" spans="1:80" ht="9.75" hidden="1" customHeight="1" x14ac:dyDescent="0.4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</row>
    <row r="543" spans="1:80" ht="9.75" hidden="1" customHeight="1" x14ac:dyDescent="0.4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</row>
    <row r="544" spans="1:80" ht="9.75" hidden="1" customHeight="1" x14ac:dyDescent="0.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</row>
    <row r="545" spans="1:80" ht="9.75" hidden="1" customHeight="1" x14ac:dyDescent="0.4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</row>
    <row r="546" spans="1:80" ht="9.75" hidden="1" customHeight="1" x14ac:dyDescent="0.4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</row>
    <row r="547" spans="1:80" ht="9.75" hidden="1" customHeight="1" x14ac:dyDescent="0.4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</row>
    <row r="548" spans="1:80" ht="9.75" hidden="1" customHeight="1" x14ac:dyDescent="0.4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</row>
    <row r="549" spans="1:80" ht="9.75" hidden="1" customHeight="1" x14ac:dyDescent="0.4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</row>
    <row r="550" spans="1:80" ht="9.75" hidden="1" customHeight="1" x14ac:dyDescent="0.4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</row>
    <row r="551" spans="1:80" ht="9.75" hidden="1" customHeight="1" x14ac:dyDescent="0.4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</row>
    <row r="552" spans="1:80" ht="9.75" hidden="1" customHeight="1" x14ac:dyDescent="0.4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</row>
    <row r="553" spans="1:80" ht="9.75" hidden="1" customHeight="1" x14ac:dyDescent="0.4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</row>
    <row r="554" spans="1:80" ht="9.75" hidden="1" customHeight="1" x14ac:dyDescent="0.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</row>
    <row r="555" spans="1:80" ht="9.75" hidden="1" customHeight="1" x14ac:dyDescent="0.4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</row>
    <row r="556" spans="1:80" ht="9.75" hidden="1" customHeight="1" x14ac:dyDescent="0.4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</row>
    <row r="557" spans="1:80" ht="9.75" hidden="1" customHeight="1" x14ac:dyDescent="0.4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</row>
    <row r="558" spans="1:80" ht="9.75" hidden="1" customHeight="1" x14ac:dyDescent="0.4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</row>
    <row r="559" spans="1:80" ht="9.75" hidden="1" customHeight="1" x14ac:dyDescent="0.4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</row>
    <row r="560" spans="1:80" ht="9.75" hidden="1" customHeight="1" x14ac:dyDescent="0.4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</row>
    <row r="561" spans="1:80" ht="9.75" hidden="1" customHeight="1" x14ac:dyDescent="0.4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</row>
    <row r="562" spans="1:80" ht="9.75" hidden="1" customHeight="1" x14ac:dyDescent="0.4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</row>
    <row r="563" spans="1:80" ht="9.75" hidden="1" customHeight="1" x14ac:dyDescent="0.4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</row>
    <row r="564" spans="1:80" ht="9.75" hidden="1" customHeight="1" x14ac:dyDescent="0.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</row>
    <row r="565" spans="1:80" ht="9.75" hidden="1" customHeight="1" x14ac:dyDescent="0.4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</row>
    <row r="566" spans="1:80" ht="9.75" hidden="1" customHeight="1" x14ac:dyDescent="0.4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</row>
    <row r="567" spans="1:80" ht="9.75" hidden="1" customHeight="1" x14ac:dyDescent="0.4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</row>
    <row r="568" spans="1:80" ht="9.75" hidden="1" customHeight="1" x14ac:dyDescent="0.4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</row>
    <row r="569" spans="1:80" ht="9.75" hidden="1" customHeight="1" x14ac:dyDescent="0.4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</row>
    <row r="570" spans="1:80" ht="9.75" hidden="1" customHeight="1" x14ac:dyDescent="0.4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</row>
    <row r="571" spans="1:80" ht="9.75" hidden="1" customHeight="1" x14ac:dyDescent="0.4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</row>
    <row r="572" spans="1:80" ht="9.75" hidden="1" customHeight="1" x14ac:dyDescent="0.4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</row>
    <row r="573" spans="1:80" ht="9.75" hidden="1" customHeight="1" x14ac:dyDescent="0.4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</row>
    <row r="574" spans="1:80" ht="9.75" hidden="1" customHeight="1" x14ac:dyDescent="0.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</row>
    <row r="575" spans="1:80" ht="9.75" hidden="1" customHeight="1" x14ac:dyDescent="0.4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</row>
    <row r="576" spans="1:80" ht="9.75" hidden="1" customHeight="1" x14ac:dyDescent="0.4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</row>
    <row r="577" spans="1:80" ht="9.75" hidden="1" customHeight="1" x14ac:dyDescent="0.4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</row>
    <row r="578" spans="1:80" ht="9.75" hidden="1" customHeight="1" x14ac:dyDescent="0.4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</row>
    <row r="579" spans="1:80" ht="9.75" hidden="1" customHeight="1" x14ac:dyDescent="0.4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</row>
    <row r="580" spans="1:80" ht="9.75" hidden="1" customHeight="1" x14ac:dyDescent="0.4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</row>
    <row r="581" spans="1:80" ht="9.75" hidden="1" customHeight="1" x14ac:dyDescent="0.4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</row>
    <row r="582" spans="1:80" ht="9.75" hidden="1" customHeight="1" x14ac:dyDescent="0.4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</row>
    <row r="583" spans="1:80" ht="9.75" hidden="1" customHeight="1" x14ac:dyDescent="0.4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</row>
    <row r="584" spans="1:80" ht="9.75" hidden="1" customHeight="1" x14ac:dyDescent="0.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</row>
    <row r="585" spans="1:80" ht="9.75" hidden="1" customHeight="1" x14ac:dyDescent="0.4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</row>
    <row r="586" spans="1:80" ht="9.75" hidden="1" customHeight="1" x14ac:dyDescent="0.4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</row>
    <row r="587" spans="1:80" ht="9.75" hidden="1" customHeight="1" x14ac:dyDescent="0.4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</row>
    <row r="588" spans="1:80" ht="9.75" hidden="1" customHeight="1" x14ac:dyDescent="0.4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</row>
    <row r="589" spans="1:80" ht="9.75" hidden="1" customHeight="1" x14ac:dyDescent="0.4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</row>
    <row r="590" spans="1:80" ht="9.75" hidden="1" customHeight="1" x14ac:dyDescent="0.4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</row>
    <row r="591" spans="1:80" ht="9.75" hidden="1" customHeight="1" x14ac:dyDescent="0.4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</row>
    <row r="592" spans="1:80" ht="9.75" hidden="1" customHeight="1" x14ac:dyDescent="0.4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</row>
    <row r="593" spans="1:80" ht="9.75" hidden="1" customHeight="1" x14ac:dyDescent="0.4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</row>
    <row r="594" spans="1:80" ht="9.75" hidden="1" customHeight="1" x14ac:dyDescent="0.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</row>
    <row r="595" spans="1:80" ht="9.75" hidden="1" customHeight="1" x14ac:dyDescent="0.4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</row>
    <row r="596" spans="1:80" ht="9.75" hidden="1" customHeight="1" x14ac:dyDescent="0.4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</row>
    <row r="597" spans="1:80" ht="9.75" hidden="1" customHeight="1" x14ac:dyDescent="0.4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</row>
    <row r="598" spans="1:80" ht="9.75" hidden="1" customHeight="1" x14ac:dyDescent="0.4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</row>
    <row r="599" spans="1:80" ht="9.75" hidden="1" customHeight="1" x14ac:dyDescent="0.4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</row>
    <row r="600" spans="1:80" ht="9.75" hidden="1" customHeight="1" x14ac:dyDescent="0.4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</row>
    <row r="601" spans="1:80" ht="9.75" hidden="1" customHeight="1" x14ac:dyDescent="0.4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</row>
    <row r="602" spans="1:80" ht="9.75" hidden="1" customHeight="1" x14ac:dyDescent="0.4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</row>
    <row r="603" spans="1:80" ht="9.75" hidden="1" customHeight="1" x14ac:dyDescent="0.4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</row>
    <row r="604" spans="1:80" ht="9.75" hidden="1" customHeight="1" x14ac:dyDescent="0.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</row>
    <row r="605" spans="1:80" ht="9.75" hidden="1" customHeight="1" x14ac:dyDescent="0.4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</row>
    <row r="606" spans="1:80" ht="9.75" hidden="1" customHeight="1" x14ac:dyDescent="0.4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</row>
    <row r="607" spans="1:80" ht="9.75" hidden="1" customHeight="1" x14ac:dyDescent="0.4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</row>
    <row r="608" spans="1:80" ht="9.75" hidden="1" customHeight="1" x14ac:dyDescent="0.4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</row>
    <row r="609" spans="1:80" ht="9.75" hidden="1" customHeight="1" x14ac:dyDescent="0.4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</row>
    <row r="610" spans="1:80" ht="9.75" hidden="1" customHeight="1" x14ac:dyDescent="0.4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1"/>
      <c r="CA610" s="51"/>
      <c r="CB610" s="51"/>
    </row>
    <row r="611" spans="1:80" ht="9.75" hidden="1" customHeight="1" x14ac:dyDescent="0.4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</row>
    <row r="612" spans="1:80" ht="9.75" hidden="1" customHeight="1" x14ac:dyDescent="0.4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51"/>
    </row>
    <row r="613" spans="1:80" ht="9.75" hidden="1" customHeight="1" x14ac:dyDescent="0.4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</row>
    <row r="614" spans="1:80" ht="9.75" hidden="1" customHeight="1" x14ac:dyDescent="0.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</row>
    <row r="615" spans="1:80" ht="9.75" hidden="1" customHeight="1" x14ac:dyDescent="0.4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</row>
    <row r="616" spans="1:80" ht="9.75" hidden="1" customHeight="1" x14ac:dyDescent="0.4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51"/>
    </row>
    <row r="617" spans="1:80" ht="9.75" hidden="1" customHeight="1" x14ac:dyDescent="0.4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</row>
    <row r="618" spans="1:80" ht="9.75" hidden="1" customHeight="1" x14ac:dyDescent="0.4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51"/>
    </row>
    <row r="619" spans="1:80" ht="9.75" hidden="1" customHeight="1" x14ac:dyDescent="0.4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51"/>
    </row>
    <row r="620" spans="1:80" ht="9.75" hidden="1" customHeight="1" x14ac:dyDescent="0.4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51"/>
    </row>
    <row r="621" spans="1:80" ht="9.75" hidden="1" customHeight="1" x14ac:dyDescent="0.4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51"/>
    </row>
    <row r="622" spans="1:80" ht="9.75" hidden="1" customHeight="1" x14ac:dyDescent="0.4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</row>
    <row r="623" spans="1:80" ht="9.75" hidden="1" customHeight="1" x14ac:dyDescent="0.4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51"/>
    </row>
    <row r="624" spans="1:80" ht="9.75" hidden="1" customHeight="1" x14ac:dyDescent="0.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51"/>
    </row>
    <row r="625" spans="1:80" ht="9.75" hidden="1" customHeight="1" x14ac:dyDescent="0.4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51"/>
      <c r="CB625" s="51"/>
    </row>
    <row r="626" spans="1:80" ht="9.75" hidden="1" customHeight="1" x14ac:dyDescent="0.4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1"/>
      <c r="CA626" s="51"/>
      <c r="CB626" s="51"/>
    </row>
    <row r="627" spans="1:80" ht="9.75" hidden="1" customHeight="1" x14ac:dyDescent="0.4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1"/>
      <c r="CA627" s="51"/>
      <c r="CB627" s="51"/>
    </row>
    <row r="628" spans="1:80" ht="9.75" hidden="1" customHeight="1" x14ac:dyDescent="0.4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1"/>
      <c r="CA628" s="51"/>
      <c r="CB628" s="51"/>
    </row>
    <row r="629" spans="1:80" ht="9.75" hidden="1" customHeight="1" x14ac:dyDescent="0.4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1"/>
      <c r="CA629" s="51"/>
      <c r="CB629" s="51"/>
    </row>
    <row r="630" spans="1:80" ht="9.75" hidden="1" customHeight="1" x14ac:dyDescent="0.4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1"/>
      <c r="CA630" s="51"/>
      <c r="CB630" s="51"/>
    </row>
    <row r="631" spans="1:80" ht="9.75" hidden="1" customHeight="1" x14ac:dyDescent="0.4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1"/>
      <c r="CA631" s="51"/>
      <c r="CB631" s="51"/>
    </row>
    <row r="632" spans="1:80" ht="9.75" hidden="1" customHeight="1" x14ac:dyDescent="0.4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</row>
    <row r="633" spans="1:80" ht="9.75" hidden="1" customHeight="1" x14ac:dyDescent="0.4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</row>
    <row r="634" spans="1:80" ht="9.75" hidden="1" customHeight="1" x14ac:dyDescent="0.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1"/>
      <c r="CA634" s="51"/>
      <c r="CB634" s="51"/>
    </row>
    <row r="635" spans="1:80" ht="9.75" hidden="1" customHeight="1" x14ac:dyDescent="0.4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</row>
    <row r="636" spans="1:80" ht="9.75" hidden="1" customHeight="1" x14ac:dyDescent="0.4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1"/>
      <c r="CA636" s="51"/>
      <c r="CB636" s="51"/>
    </row>
    <row r="637" spans="1:80" ht="9.75" hidden="1" customHeight="1" x14ac:dyDescent="0.4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1"/>
      <c r="CA637" s="51"/>
      <c r="CB637" s="51"/>
    </row>
    <row r="638" spans="1:80" ht="9.75" hidden="1" customHeight="1" x14ac:dyDescent="0.4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</row>
    <row r="639" spans="1:80" ht="9.75" hidden="1" customHeight="1" x14ac:dyDescent="0.4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1"/>
      <c r="CA639" s="51"/>
      <c r="CB639" s="51"/>
    </row>
    <row r="640" spans="1:80" ht="9.75" hidden="1" customHeight="1" x14ac:dyDescent="0.4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1"/>
      <c r="CA640" s="51"/>
      <c r="CB640" s="51"/>
    </row>
    <row r="641" spans="1:80" ht="9.75" hidden="1" customHeight="1" x14ac:dyDescent="0.4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</row>
    <row r="642" spans="1:80" ht="9.75" hidden="1" customHeight="1" x14ac:dyDescent="0.4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</row>
    <row r="643" spans="1:80" ht="9.75" hidden="1" customHeight="1" x14ac:dyDescent="0.4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</row>
    <row r="644" spans="1:80" ht="9.75" hidden="1" customHeight="1" x14ac:dyDescent="0.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</row>
    <row r="645" spans="1:80" ht="9.75" hidden="1" customHeight="1" x14ac:dyDescent="0.4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</row>
    <row r="646" spans="1:80" ht="9.75" hidden="1" customHeight="1" x14ac:dyDescent="0.4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</row>
    <row r="647" spans="1:80" ht="9.75" hidden="1" customHeight="1" x14ac:dyDescent="0.4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</row>
    <row r="648" spans="1:80" ht="9.75" hidden="1" customHeight="1" x14ac:dyDescent="0.4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1"/>
      <c r="CA648" s="51"/>
      <c r="CB648" s="51"/>
    </row>
    <row r="649" spans="1:80" ht="9.75" hidden="1" customHeight="1" x14ac:dyDescent="0.4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1"/>
      <c r="CA649" s="51"/>
      <c r="CB649" s="51"/>
    </row>
    <row r="650" spans="1:80" ht="9.75" hidden="1" customHeight="1" x14ac:dyDescent="0.4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</row>
    <row r="651" spans="1:80" ht="9.75" hidden="1" customHeight="1" x14ac:dyDescent="0.4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1"/>
      <c r="CA651" s="51"/>
      <c r="CB651" s="51"/>
    </row>
    <row r="652" spans="1:80" ht="9.75" hidden="1" customHeight="1" x14ac:dyDescent="0.4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1"/>
      <c r="CA652" s="51"/>
      <c r="CB652" s="51"/>
    </row>
    <row r="653" spans="1:80" ht="9.75" hidden="1" customHeight="1" x14ac:dyDescent="0.4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1"/>
      <c r="CA653" s="51"/>
      <c r="CB653" s="51"/>
    </row>
    <row r="654" spans="1:80" ht="9.75" hidden="1" customHeight="1" x14ac:dyDescent="0.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1"/>
      <c r="CA654" s="51"/>
      <c r="CB654" s="51"/>
    </row>
    <row r="655" spans="1:80" ht="9.75" hidden="1" customHeight="1" x14ac:dyDescent="0.4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</row>
    <row r="656" spans="1:80" ht="9.75" hidden="1" customHeight="1" x14ac:dyDescent="0.4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1"/>
      <c r="CA656" s="51"/>
      <c r="CB656" s="51"/>
    </row>
    <row r="657" spans="1:80" ht="9.75" hidden="1" customHeight="1" x14ac:dyDescent="0.4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1"/>
      <c r="CA657" s="51"/>
      <c r="CB657" s="51"/>
    </row>
    <row r="658" spans="1:80" ht="9.75" hidden="1" customHeight="1" x14ac:dyDescent="0.4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1"/>
      <c r="CA658" s="51"/>
      <c r="CB658" s="51"/>
    </row>
    <row r="659" spans="1:80" ht="9.75" hidden="1" customHeight="1" x14ac:dyDescent="0.4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1"/>
      <c r="CA659" s="51"/>
      <c r="CB659" s="51"/>
    </row>
    <row r="660" spans="1:80" ht="9.75" hidden="1" customHeight="1" x14ac:dyDescent="0.4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</row>
    <row r="661" spans="1:80" ht="9.75" hidden="1" customHeight="1" x14ac:dyDescent="0.4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1"/>
      <c r="CA661" s="51"/>
      <c r="CB661" s="51"/>
    </row>
    <row r="662" spans="1:80" ht="9.75" hidden="1" customHeight="1" x14ac:dyDescent="0.4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1"/>
      <c r="CA662" s="51"/>
      <c r="CB662" s="51"/>
    </row>
    <row r="663" spans="1:80" ht="9.75" hidden="1" customHeight="1" x14ac:dyDescent="0.4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1"/>
      <c r="CA663" s="51"/>
      <c r="CB663" s="51"/>
    </row>
    <row r="664" spans="1:80" ht="9.75" hidden="1" customHeight="1" x14ac:dyDescent="0.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1"/>
      <c r="CA664" s="51"/>
      <c r="CB664" s="51"/>
    </row>
    <row r="665" spans="1:80" ht="9.75" hidden="1" customHeight="1" x14ac:dyDescent="0.4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</row>
    <row r="666" spans="1:80" ht="9.75" hidden="1" customHeight="1" x14ac:dyDescent="0.4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</row>
    <row r="667" spans="1:80" ht="9.75" hidden="1" customHeight="1" x14ac:dyDescent="0.4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1"/>
      <c r="CA667" s="51"/>
      <c r="CB667" s="51"/>
    </row>
    <row r="668" spans="1:80" ht="9.75" hidden="1" customHeight="1" x14ac:dyDescent="0.4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</row>
    <row r="669" spans="1:80" ht="9.75" hidden="1" customHeight="1" x14ac:dyDescent="0.4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1"/>
      <c r="CA669" s="51"/>
      <c r="CB669" s="51"/>
    </row>
    <row r="670" spans="1:80" ht="9.75" hidden="1" customHeight="1" x14ac:dyDescent="0.4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1"/>
      <c r="CA670" s="51"/>
      <c r="CB670" s="51"/>
    </row>
    <row r="671" spans="1:80" ht="9.75" hidden="1" customHeight="1" x14ac:dyDescent="0.4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</row>
    <row r="672" spans="1:80" ht="9.75" hidden="1" customHeight="1" x14ac:dyDescent="0.4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1"/>
      <c r="CA672" s="51"/>
      <c r="CB672" s="51"/>
    </row>
    <row r="673" spans="1:80" ht="9.75" hidden="1" customHeight="1" x14ac:dyDescent="0.4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1"/>
      <c r="CA673" s="51"/>
      <c r="CB673" s="51"/>
    </row>
    <row r="674" spans="1:80" ht="9.75" hidden="1" customHeight="1" x14ac:dyDescent="0.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1"/>
      <c r="CA674" s="51"/>
      <c r="CB674" s="51"/>
    </row>
    <row r="675" spans="1:80" ht="9.75" hidden="1" customHeight="1" x14ac:dyDescent="0.4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1"/>
      <c r="CA675" s="51"/>
      <c r="CB675" s="51"/>
    </row>
    <row r="676" spans="1:80" ht="9.75" hidden="1" customHeight="1" x14ac:dyDescent="0.4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1"/>
      <c r="CA676" s="51"/>
      <c r="CB676" s="51"/>
    </row>
    <row r="677" spans="1:80" ht="9.75" hidden="1" customHeight="1" x14ac:dyDescent="0.4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</row>
    <row r="678" spans="1:80" ht="9.75" hidden="1" customHeight="1" x14ac:dyDescent="0.4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1"/>
      <c r="CA678" s="51"/>
      <c r="CB678" s="51"/>
    </row>
    <row r="679" spans="1:80" ht="9.75" hidden="1" customHeight="1" x14ac:dyDescent="0.4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1"/>
      <c r="CA679" s="51"/>
      <c r="CB679" s="51"/>
    </row>
    <row r="680" spans="1:80" ht="9.75" hidden="1" customHeight="1" x14ac:dyDescent="0.4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</row>
    <row r="681" spans="1:80" ht="9.75" hidden="1" customHeight="1" x14ac:dyDescent="0.4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1"/>
      <c r="CA681" s="51"/>
      <c r="CB681" s="51"/>
    </row>
    <row r="682" spans="1:80" ht="9.75" hidden="1" customHeight="1" x14ac:dyDescent="0.4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1"/>
      <c r="CA682" s="51"/>
      <c r="CB682" s="51"/>
    </row>
    <row r="683" spans="1:80" ht="9.75" hidden="1" customHeight="1" x14ac:dyDescent="0.4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</row>
    <row r="684" spans="1:80" ht="9.75" hidden="1" customHeight="1" x14ac:dyDescent="0.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1"/>
      <c r="CA684" s="51"/>
      <c r="CB684" s="51"/>
    </row>
    <row r="685" spans="1:80" ht="9.75" hidden="1" customHeight="1" x14ac:dyDescent="0.4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1"/>
      <c r="CA685" s="51"/>
      <c r="CB685" s="51"/>
    </row>
    <row r="686" spans="1:80" ht="9.75" hidden="1" customHeight="1" x14ac:dyDescent="0.4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</row>
    <row r="687" spans="1:80" ht="9.75" hidden="1" customHeight="1" x14ac:dyDescent="0.4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1"/>
      <c r="CA687" s="51"/>
      <c r="CB687" s="51"/>
    </row>
    <row r="688" spans="1:80" ht="9.75" hidden="1" customHeight="1" x14ac:dyDescent="0.4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</row>
    <row r="689" spans="1:80" ht="9.75" hidden="1" customHeight="1" x14ac:dyDescent="0.4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</row>
    <row r="690" spans="1:80" ht="9.75" hidden="1" customHeight="1" x14ac:dyDescent="0.4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1"/>
      <c r="CA690" s="51"/>
      <c r="CB690" s="51"/>
    </row>
    <row r="691" spans="1:80" ht="9.75" hidden="1" customHeight="1" x14ac:dyDescent="0.4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1"/>
      <c r="CA691" s="51"/>
      <c r="CB691" s="51"/>
    </row>
    <row r="692" spans="1:80" ht="9.75" hidden="1" customHeight="1" x14ac:dyDescent="0.4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</row>
    <row r="693" spans="1:80" ht="9.75" hidden="1" customHeight="1" x14ac:dyDescent="0.4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1"/>
      <c r="CA693" s="51"/>
      <c r="CB693" s="51"/>
    </row>
    <row r="694" spans="1:80" ht="9.75" hidden="1" customHeight="1" x14ac:dyDescent="0.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1"/>
      <c r="CA694" s="51"/>
      <c r="CB694" s="51"/>
    </row>
    <row r="695" spans="1:80" ht="9.75" hidden="1" customHeight="1" x14ac:dyDescent="0.4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</row>
    <row r="696" spans="1:80" ht="9.75" hidden="1" customHeight="1" x14ac:dyDescent="0.4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1"/>
      <c r="CA696" s="51"/>
      <c r="CB696" s="51"/>
    </row>
    <row r="697" spans="1:80" ht="9.75" hidden="1" customHeight="1" x14ac:dyDescent="0.4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1"/>
      <c r="CA697" s="51"/>
      <c r="CB697" s="51"/>
    </row>
    <row r="698" spans="1:80" ht="9.75" hidden="1" customHeight="1" x14ac:dyDescent="0.4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</row>
    <row r="699" spans="1:80" ht="9.75" hidden="1" customHeight="1" x14ac:dyDescent="0.4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</row>
    <row r="700" spans="1:80" ht="9.75" hidden="1" customHeight="1" x14ac:dyDescent="0.4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</row>
    <row r="701" spans="1:80" ht="9.75" hidden="1" customHeight="1" x14ac:dyDescent="0.4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1"/>
      <c r="CA701" s="51"/>
      <c r="CB701" s="51"/>
    </row>
    <row r="702" spans="1:80" ht="9.75" hidden="1" customHeight="1" x14ac:dyDescent="0.4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</row>
    <row r="703" spans="1:80" ht="9.75" hidden="1" customHeight="1" x14ac:dyDescent="0.4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</row>
    <row r="704" spans="1:80" ht="9.75" hidden="1" customHeight="1" x14ac:dyDescent="0.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</row>
    <row r="705" spans="1:80" ht="9.75" hidden="1" customHeight="1" x14ac:dyDescent="0.4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1"/>
      <c r="CA705" s="51"/>
      <c r="CB705" s="51"/>
    </row>
    <row r="706" spans="1:80" ht="9.75" hidden="1" customHeight="1" x14ac:dyDescent="0.4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</row>
    <row r="707" spans="1:80" ht="9.75" hidden="1" customHeight="1" x14ac:dyDescent="0.4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</row>
    <row r="708" spans="1:80" ht="9.75" hidden="1" customHeight="1" x14ac:dyDescent="0.4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1"/>
      <c r="CA708" s="51"/>
      <c r="CB708" s="51"/>
    </row>
    <row r="709" spans="1:80" ht="9.75" hidden="1" customHeight="1" x14ac:dyDescent="0.4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1"/>
      <c r="CA709" s="51"/>
      <c r="CB709" s="51"/>
    </row>
    <row r="710" spans="1:80" ht="9.75" hidden="1" customHeight="1" x14ac:dyDescent="0.4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</row>
    <row r="711" spans="1:80" ht="9.75" hidden="1" customHeight="1" x14ac:dyDescent="0.4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1"/>
      <c r="CA711" s="51"/>
      <c r="CB711" s="51"/>
    </row>
    <row r="712" spans="1:80" ht="9.75" hidden="1" customHeight="1" x14ac:dyDescent="0.4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</row>
    <row r="713" spans="1:80" ht="9.75" hidden="1" customHeight="1" x14ac:dyDescent="0.4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</row>
    <row r="714" spans="1:80" ht="9.75" hidden="1" customHeight="1" x14ac:dyDescent="0.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1"/>
      <c r="CA714" s="51"/>
      <c r="CB714" s="51"/>
    </row>
    <row r="715" spans="1:80" ht="9.75" hidden="1" customHeight="1" x14ac:dyDescent="0.4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1"/>
      <c r="CA715" s="51"/>
      <c r="CB715" s="51"/>
    </row>
    <row r="716" spans="1:80" ht="9.75" hidden="1" customHeight="1" x14ac:dyDescent="0.4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1"/>
      <c r="CA716" s="51"/>
      <c r="CB716" s="51"/>
    </row>
    <row r="717" spans="1:80" ht="9.75" hidden="1" customHeight="1" x14ac:dyDescent="0.4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1"/>
      <c r="CA717" s="51"/>
      <c r="CB717" s="51"/>
    </row>
    <row r="718" spans="1:80" ht="9.75" hidden="1" customHeight="1" x14ac:dyDescent="0.4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1"/>
      <c r="CA718" s="51"/>
      <c r="CB718" s="51"/>
    </row>
    <row r="719" spans="1:80" ht="9.75" hidden="1" customHeight="1" x14ac:dyDescent="0.4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1"/>
      <c r="CA719" s="51"/>
      <c r="CB719" s="51"/>
    </row>
    <row r="720" spans="1:80" ht="9.75" hidden="1" customHeight="1" x14ac:dyDescent="0.4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1"/>
      <c r="CA720" s="51"/>
      <c r="CB720" s="51"/>
    </row>
    <row r="721" spans="1:80" ht="9.75" hidden="1" customHeight="1" x14ac:dyDescent="0.4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</row>
    <row r="722" spans="1:80" ht="9.75" hidden="1" customHeight="1" x14ac:dyDescent="0.4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</row>
    <row r="723" spans="1:80" ht="9.75" hidden="1" customHeight="1" x14ac:dyDescent="0.4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1"/>
      <c r="CA723" s="51"/>
      <c r="CB723" s="51"/>
    </row>
    <row r="724" spans="1:80" ht="9.75" hidden="1" customHeight="1" x14ac:dyDescent="0.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1"/>
      <c r="CA724" s="51"/>
      <c r="CB724" s="51"/>
    </row>
    <row r="725" spans="1:80" ht="9.75" hidden="1" customHeight="1" x14ac:dyDescent="0.4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</row>
    <row r="726" spans="1:80" ht="9.75" hidden="1" customHeight="1" x14ac:dyDescent="0.4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1"/>
      <c r="CA726" s="51"/>
      <c r="CB726" s="51"/>
    </row>
    <row r="727" spans="1:80" ht="9.75" hidden="1" customHeight="1" x14ac:dyDescent="0.4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1"/>
      <c r="CA727" s="51"/>
      <c r="CB727" s="51"/>
    </row>
    <row r="728" spans="1:80" ht="9.75" hidden="1" customHeight="1" x14ac:dyDescent="0.4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1"/>
      <c r="CA728" s="51"/>
      <c r="CB728" s="51"/>
    </row>
    <row r="729" spans="1:80" ht="9.75" hidden="1" customHeight="1" x14ac:dyDescent="0.4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1"/>
      <c r="CA729" s="51"/>
      <c r="CB729" s="51"/>
    </row>
    <row r="730" spans="1:80" ht="9.75" hidden="1" customHeight="1" x14ac:dyDescent="0.4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1"/>
      <c r="CA730" s="51"/>
      <c r="CB730" s="51"/>
    </row>
    <row r="731" spans="1:80" ht="9.75" hidden="1" customHeight="1" x14ac:dyDescent="0.4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1"/>
      <c r="CA731" s="51"/>
      <c r="CB731" s="51"/>
    </row>
    <row r="732" spans="1:80" ht="9.75" hidden="1" customHeight="1" x14ac:dyDescent="0.4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</row>
    <row r="733" spans="1:80" ht="9.75" hidden="1" customHeight="1" x14ac:dyDescent="0.4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1"/>
      <c r="CA733" s="51"/>
      <c r="CB733" s="51"/>
    </row>
    <row r="734" spans="1:80" ht="9.75" hidden="1" customHeight="1" x14ac:dyDescent="0.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1"/>
      <c r="CA734" s="51"/>
      <c r="CB734" s="51"/>
    </row>
    <row r="735" spans="1:80" ht="9.75" hidden="1" customHeight="1" x14ac:dyDescent="0.4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1"/>
      <c r="CA735" s="51"/>
      <c r="CB735" s="51"/>
    </row>
    <row r="736" spans="1:80" ht="9.75" hidden="1" customHeight="1" x14ac:dyDescent="0.4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1"/>
      <c r="CA736" s="51"/>
      <c r="CB736" s="51"/>
    </row>
    <row r="737" spans="1:80" ht="9.75" hidden="1" customHeight="1" x14ac:dyDescent="0.4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</row>
    <row r="738" spans="1:80" ht="9.75" hidden="1" customHeight="1" x14ac:dyDescent="0.4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1"/>
      <c r="CA738" s="51"/>
      <c r="CB738" s="51"/>
    </row>
    <row r="739" spans="1:80" ht="9.75" hidden="1" customHeight="1" x14ac:dyDescent="0.4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1"/>
      <c r="CA739" s="51"/>
      <c r="CB739" s="51"/>
    </row>
    <row r="740" spans="1:80" ht="9.75" hidden="1" customHeight="1" x14ac:dyDescent="0.4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</row>
    <row r="741" spans="1:80" ht="9.75" hidden="1" customHeight="1" x14ac:dyDescent="0.4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1"/>
      <c r="CA741" s="51"/>
      <c r="CB741" s="51"/>
    </row>
    <row r="742" spans="1:80" ht="9.75" hidden="1" customHeight="1" x14ac:dyDescent="0.4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1"/>
      <c r="CA742" s="51"/>
      <c r="CB742" s="51"/>
    </row>
    <row r="743" spans="1:80" ht="9.75" hidden="1" customHeight="1" x14ac:dyDescent="0.4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</row>
    <row r="744" spans="1:80" ht="9.75" hidden="1" customHeight="1" x14ac:dyDescent="0.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1"/>
      <c r="CA744" s="51"/>
      <c r="CB744" s="51"/>
    </row>
    <row r="745" spans="1:80" ht="9.75" hidden="1" customHeight="1" x14ac:dyDescent="0.4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1"/>
      <c r="CA745" s="51"/>
      <c r="CB745" s="51"/>
    </row>
    <row r="746" spans="1:80" ht="9.75" hidden="1" customHeight="1" x14ac:dyDescent="0.4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1"/>
      <c r="CA746" s="51"/>
      <c r="CB746" s="51"/>
    </row>
    <row r="747" spans="1:80" ht="9.75" hidden="1" customHeight="1" x14ac:dyDescent="0.4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1"/>
      <c r="CA747" s="51"/>
      <c r="CB747" s="51"/>
    </row>
    <row r="748" spans="1:80" ht="9.75" hidden="1" customHeight="1" x14ac:dyDescent="0.4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1"/>
      <c r="CA748" s="51"/>
      <c r="CB748" s="51"/>
    </row>
    <row r="749" spans="1:80" ht="9.75" hidden="1" customHeight="1" x14ac:dyDescent="0.4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1"/>
      <c r="CA749" s="51"/>
      <c r="CB749" s="51"/>
    </row>
    <row r="750" spans="1:80" ht="9.75" hidden="1" customHeight="1" x14ac:dyDescent="0.4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1"/>
      <c r="CA750" s="51"/>
      <c r="CB750" s="51"/>
    </row>
    <row r="751" spans="1:80" ht="9.75" hidden="1" customHeight="1" x14ac:dyDescent="0.4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1"/>
      <c r="CA751" s="51"/>
      <c r="CB751" s="51"/>
    </row>
    <row r="752" spans="1:80" ht="9.75" hidden="1" customHeight="1" x14ac:dyDescent="0.4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</row>
    <row r="753" spans="1:80" ht="9.75" hidden="1" customHeight="1" x14ac:dyDescent="0.4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</row>
    <row r="754" spans="1:80" ht="9.75" hidden="1" customHeight="1" x14ac:dyDescent="0.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</row>
    <row r="755" spans="1:80" ht="9.75" hidden="1" customHeight="1" x14ac:dyDescent="0.4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</row>
    <row r="756" spans="1:80" ht="9.75" hidden="1" customHeight="1" x14ac:dyDescent="0.4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1"/>
      <c r="CA756" s="51"/>
      <c r="CB756" s="51"/>
    </row>
    <row r="757" spans="1:80" ht="9.75" hidden="1" customHeight="1" x14ac:dyDescent="0.4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</row>
    <row r="758" spans="1:80" ht="9.75" hidden="1" customHeight="1" x14ac:dyDescent="0.4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</row>
    <row r="759" spans="1:80" ht="9.75" hidden="1" customHeight="1" x14ac:dyDescent="0.4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</row>
    <row r="760" spans="1:80" ht="9.75" hidden="1" customHeight="1" x14ac:dyDescent="0.4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</row>
    <row r="761" spans="1:80" ht="9.75" hidden="1" customHeight="1" x14ac:dyDescent="0.4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</row>
    <row r="762" spans="1:80" ht="9.75" hidden="1" customHeight="1" x14ac:dyDescent="0.4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</row>
    <row r="763" spans="1:80" ht="9.75" hidden="1" customHeight="1" x14ac:dyDescent="0.4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</row>
    <row r="764" spans="1:80" ht="9.75" hidden="1" customHeight="1" x14ac:dyDescent="0.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</row>
    <row r="765" spans="1:80" ht="9.75" hidden="1" customHeight="1" x14ac:dyDescent="0.4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</row>
    <row r="766" spans="1:80" ht="9.75" hidden="1" customHeight="1" x14ac:dyDescent="0.4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</row>
    <row r="767" spans="1:80" ht="9.75" hidden="1" customHeight="1" x14ac:dyDescent="0.4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</row>
    <row r="768" spans="1:80" ht="9.75" hidden="1" customHeight="1" x14ac:dyDescent="0.4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</row>
    <row r="769" spans="1:80" ht="9.75" hidden="1" customHeight="1" x14ac:dyDescent="0.4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</row>
    <row r="770" spans="1:80" ht="9.75" hidden="1" customHeight="1" x14ac:dyDescent="0.4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</row>
    <row r="771" spans="1:80" ht="9.75" hidden="1" customHeight="1" x14ac:dyDescent="0.4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</row>
    <row r="772" spans="1:80" ht="9.75" hidden="1" customHeight="1" x14ac:dyDescent="0.4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</row>
    <row r="773" spans="1:80" ht="9.75" hidden="1" customHeight="1" x14ac:dyDescent="0.4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</row>
    <row r="774" spans="1:80" ht="9.75" hidden="1" customHeight="1" x14ac:dyDescent="0.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</row>
    <row r="775" spans="1:80" ht="9.75" hidden="1" customHeight="1" x14ac:dyDescent="0.4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</row>
    <row r="776" spans="1:80" ht="9.75" hidden="1" customHeight="1" x14ac:dyDescent="0.4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</row>
    <row r="777" spans="1:80" ht="9.75" hidden="1" customHeight="1" x14ac:dyDescent="0.4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</row>
    <row r="778" spans="1:80" ht="9.75" hidden="1" customHeight="1" x14ac:dyDescent="0.4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</row>
    <row r="779" spans="1:80" ht="9.75" hidden="1" customHeight="1" x14ac:dyDescent="0.4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</row>
    <row r="780" spans="1:80" ht="9.75" hidden="1" customHeight="1" x14ac:dyDescent="0.4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</row>
    <row r="781" spans="1:80" ht="9.75" hidden="1" customHeight="1" x14ac:dyDescent="0.4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1"/>
      <c r="CA781" s="51"/>
      <c r="CB781" s="51"/>
    </row>
    <row r="782" spans="1:80" ht="9.75" hidden="1" customHeight="1" x14ac:dyDescent="0.4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</row>
    <row r="783" spans="1:80" ht="9.75" hidden="1" customHeight="1" x14ac:dyDescent="0.4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</row>
    <row r="784" spans="1:80" ht="9.75" hidden="1" customHeight="1" x14ac:dyDescent="0.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</row>
    <row r="785" spans="1:80" ht="9.75" hidden="1" customHeight="1" x14ac:dyDescent="0.4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</row>
    <row r="786" spans="1:80" ht="9.75" hidden="1" customHeight="1" x14ac:dyDescent="0.4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1"/>
      <c r="CA786" s="51"/>
      <c r="CB786" s="51"/>
    </row>
    <row r="787" spans="1:80" ht="9.75" hidden="1" customHeight="1" x14ac:dyDescent="0.4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</row>
    <row r="788" spans="1:80" ht="9.75" hidden="1" customHeight="1" x14ac:dyDescent="0.4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</row>
    <row r="789" spans="1:80" ht="9.75" hidden="1" customHeight="1" x14ac:dyDescent="0.4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</row>
    <row r="790" spans="1:80" ht="9.75" hidden="1" customHeight="1" x14ac:dyDescent="0.4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</row>
    <row r="791" spans="1:80" ht="9.75" hidden="1" customHeight="1" x14ac:dyDescent="0.4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</row>
    <row r="792" spans="1:80" ht="9.75" hidden="1" customHeight="1" x14ac:dyDescent="0.4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</row>
    <row r="793" spans="1:80" ht="9.75" hidden="1" customHeight="1" x14ac:dyDescent="0.4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</row>
    <row r="794" spans="1:80" ht="9.75" hidden="1" customHeight="1" x14ac:dyDescent="0.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</row>
    <row r="795" spans="1:80" ht="9.75" hidden="1" customHeight="1" x14ac:dyDescent="0.4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1"/>
      <c r="CA795" s="51"/>
      <c r="CB795" s="51"/>
    </row>
    <row r="796" spans="1:80" ht="9.75" hidden="1" customHeight="1" x14ac:dyDescent="0.4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</row>
    <row r="797" spans="1:80" ht="9.75" hidden="1" customHeight="1" x14ac:dyDescent="0.4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</row>
    <row r="798" spans="1:80" ht="9.75" hidden="1" customHeight="1" x14ac:dyDescent="0.4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</row>
    <row r="799" spans="1:80" ht="9.75" hidden="1" customHeight="1" x14ac:dyDescent="0.4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</row>
    <row r="800" spans="1:80" ht="9.75" hidden="1" customHeight="1" x14ac:dyDescent="0.4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</row>
    <row r="801" spans="1:80" ht="9.75" hidden="1" customHeight="1" x14ac:dyDescent="0.4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</row>
    <row r="802" spans="1:80" ht="9.75" hidden="1" customHeight="1" x14ac:dyDescent="0.4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</row>
    <row r="803" spans="1:80" ht="9.75" hidden="1" customHeight="1" x14ac:dyDescent="0.4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</row>
    <row r="804" spans="1:80" ht="9.75" hidden="1" customHeight="1" x14ac:dyDescent="0.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</row>
    <row r="805" spans="1:80" ht="9.75" hidden="1" customHeight="1" x14ac:dyDescent="0.4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</row>
    <row r="806" spans="1:80" ht="9.75" hidden="1" customHeight="1" x14ac:dyDescent="0.4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</row>
    <row r="807" spans="1:80" ht="9.75" hidden="1" customHeight="1" x14ac:dyDescent="0.4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</row>
    <row r="808" spans="1:80" ht="9.75" hidden="1" customHeight="1" x14ac:dyDescent="0.4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</row>
    <row r="809" spans="1:80" ht="9.75" hidden="1" customHeight="1" x14ac:dyDescent="0.4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</row>
    <row r="810" spans="1:80" ht="9.75" hidden="1" customHeight="1" x14ac:dyDescent="0.4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</row>
    <row r="811" spans="1:80" ht="9.75" hidden="1" customHeight="1" x14ac:dyDescent="0.4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</row>
    <row r="812" spans="1:80" ht="9.75" hidden="1" customHeight="1" x14ac:dyDescent="0.4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</row>
    <row r="813" spans="1:80" ht="9.75" hidden="1" customHeight="1" x14ac:dyDescent="0.4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</row>
    <row r="814" spans="1:80" ht="9.75" hidden="1" customHeight="1" x14ac:dyDescent="0.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</row>
    <row r="815" spans="1:80" ht="9.75" hidden="1" customHeight="1" x14ac:dyDescent="0.4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</row>
    <row r="816" spans="1:80" ht="9.75" hidden="1" customHeight="1" x14ac:dyDescent="0.4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</row>
    <row r="817" spans="1:80" ht="9.75" hidden="1" customHeight="1" x14ac:dyDescent="0.4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</row>
    <row r="818" spans="1:80" ht="9.75" hidden="1" customHeight="1" x14ac:dyDescent="0.4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</row>
    <row r="819" spans="1:80" ht="9.75" hidden="1" customHeight="1" x14ac:dyDescent="0.4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</row>
    <row r="820" spans="1:80" ht="9.75" hidden="1" customHeight="1" x14ac:dyDescent="0.4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</row>
    <row r="821" spans="1:80" ht="9.75" hidden="1" customHeight="1" x14ac:dyDescent="0.4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</row>
    <row r="822" spans="1:80" ht="9.75" hidden="1" customHeight="1" x14ac:dyDescent="0.4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</row>
    <row r="823" spans="1:80" ht="9.75" hidden="1" customHeight="1" x14ac:dyDescent="0.4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</row>
    <row r="824" spans="1:80" ht="9.75" hidden="1" customHeight="1" x14ac:dyDescent="0.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</row>
    <row r="825" spans="1:80" ht="9.75" hidden="1" customHeight="1" x14ac:dyDescent="0.4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</row>
    <row r="826" spans="1:80" ht="9.75" hidden="1" customHeight="1" x14ac:dyDescent="0.4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</row>
    <row r="827" spans="1:80" ht="9.75" hidden="1" customHeight="1" x14ac:dyDescent="0.4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</row>
    <row r="828" spans="1:80" ht="9.75" hidden="1" customHeight="1" x14ac:dyDescent="0.4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</row>
    <row r="829" spans="1:80" ht="9.75" hidden="1" customHeight="1" x14ac:dyDescent="0.4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</row>
    <row r="830" spans="1:80" ht="9.75" hidden="1" customHeight="1" x14ac:dyDescent="0.4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</row>
    <row r="831" spans="1:80" ht="9.75" hidden="1" customHeight="1" x14ac:dyDescent="0.4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</row>
    <row r="832" spans="1:80" ht="9.75" hidden="1" customHeight="1" x14ac:dyDescent="0.4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</row>
    <row r="833" spans="1:80" ht="9.75" hidden="1" customHeight="1" x14ac:dyDescent="0.4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</row>
    <row r="834" spans="1:80" ht="9.75" hidden="1" customHeight="1" x14ac:dyDescent="0.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</row>
    <row r="835" spans="1:80" ht="9.75" hidden="1" customHeight="1" x14ac:dyDescent="0.4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</row>
    <row r="836" spans="1:80" ht="9.75" hidden="1" customHeight="1" x14ac:dyDescent="0.4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</row>
    <row r="837" spans="1:80" ht="9.75" hidden="1" customHeight="1" x14ac:dyDescent="0.4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1"/>
      <c r="CA837" s="51"/>
      <c r="CB837" s="51"/>
    </row>
    <row r="838" spans="1:80" ht="9.75" hidden="1" customHeight="1" x14ac:dyDescent="0.4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</row>
    <row r="839" spans="1:80" ht="9.75" hidden="1" customHeight="1" x14ac:dyDescent="0.4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</row>
    <row r="840" spans="1:80" ht="9.75" hidden="1" customHeight="1" x14ac:dyDescent="0.4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</row>
    <row r="841" spans="1:80" ht="9.75" hidden="1" customHeight="1" x14ac:dyDescent="0.4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</row>
    <row r="842" spans="1:80" ht="9.75" hidden="1" customHeight="1" x14ac:dyDescent="0.4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</row>
    <row r="843" spans="1:80" ht="9.75" hidden="1" customHeight="1" x14ac:dyDescent="0.4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</row>
    <row r="844" spans="1:80" ht="9.75" hidden="1" customHeight="1" x14ac:dyDescent="0.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</row>
    <row r="845" spans="1:80" ht="9.75" hidden="1" customHeight="1" x14ac:dyDescent="0.4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</row>
    <row r="846" spans="1:80" ht="9.75" hidden="1" customHeight="1" x14ac:dyDescent="0.4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</row>
    <row r="847" spans="1:80" ht="9.75" hidden="1" customHeight="1" x14ac:dyDescent="0.4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</row>
    <row r="848" spans="1:80" ht="9.75" hidden="1" customHeight="1" x14ac:dyDescent="0.4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</row>
    <row r="849" spans="1:80" ht="9.75" hidden="1" customHeight="1" x14ac:dyDescent="0.4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</row>
    <row r="850" spans="1:80" ht="9.75" hidden="1" customHeight="1" x14ac:dyDescent="0.4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</row>
    <row r="851" spans="1:80" ht="9.75" hidden="1" customHeight="1" x14ac:dyDescent="0.4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</row>
    <row r="852" spans="1:80" ht="9.75" hidden="1" customHeight="1" x14ac:dyDescent="0.4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</row>
    <row r="853" spans="1:80" ht="9.75" hidden="1" customHeight="1" x14ac:dyDescent="0.4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</row>
    <row r="854" spans="1:80" ht="9.75" hidden="1" customHeight="1" x14ac:dyDescent="0.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</row>
    <row r="855" spans="1:80" ht="9.75" hidden="1" customHeight="1" x14ac:dyDescent="0.4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</row>
    <row r="856" spans="1:80" ht="9.75" hidden="1" customHeight="1" x14ac:dyDescent="0.4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</row>
    <row r="857" spans="1:80" ht="9.75" hidden="1" customHeight="1" x14ac:dyDescent="0.4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</row>
    <row r="858" spans="1:80" ht="9.75" hidden="1" customHeight="1" x14ac:dyDescent="0.4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</row>
    <row r="859" spans="1:80" ht="9.75" hidden="1" customHeight="1" x14ac:dyDescent="0.4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</row>
    <row r="860" spans="1:80" ht="9.75" hidden="1" customHeight="1" x14ac:dyDescent="0.4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</row>
    <row r="861" spans="1:80" ht="9.75" hidden="1" customHeight="1" x14ac:dyDescent="0.4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</row>
    <row r="862" spans="1:80" ht="9.75" hidden="1" customHeight="1" x14ac:dyDescent="0.4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</row>
    <row r="863" spans="1:80" ht="9.75" hidden="1" customHeight="1" x14ac:dyDescent="0.4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</row>
    <row r="864" spans="1:80" ht="9.75" hidden="1" customHeight="1" x14ac:dyDescent="0.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</row>
    <row r="865" spans="1:80" ht="9.75" hidden="1" customHeight="1" x14ac:dyDescent="0.4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</row>
    <row r="866" spans="1:80" ht="9.75" hidden="1" customHeight="1" x14ac:dyDescent="0.4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</row>
    <row r="867" spans="1:80" ht="9.75" hidden="1" customHeight="1" x14ac:dyDescent="0.4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</row>
    <row r="868" spans="1:80" ht="9.75" hidden="1" customHeight="1" x14ac:dyDescent="0.4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</row>
    <row r="869" spans="1:80" ht="9.75" hidden="1" customHeight="1" x14ac:dyDescent="0.4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</row>
    <row r="870" spans="1:80" ht="9.75" hidden="1" customHeight="1" x14ac:dyDescent="0.4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</row>
    <row r="871" spans="1:80" ht="9.75" hidden="1" customHeight="1" x14ac:dyDescent="0.4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</row>
    <row r="872" spans="1:80" ht="9.75" hidden="1" customHeight="1" x14ac:dyDescent="0.4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</row>
    <row r="873" spans="1:80" ht="9.75" hidden="1" customHeight="1" x14ac:dyDescent="0.4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1"/>
      <c r="CA873" s="51"/>
      <c r="CB873" s="51"/>
    </row>
    <row r="874" spans="1:80" ht="9.75" hidden="1" customHeight="1" x14ac:dyDescent="0.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1"/>
      <c r="CA874" s="51"/>
      <c r="CB874" s="51"/>
    </row>
    <row r="875" spans="1:80" ht="9.75" hidden="1" customHeight="1" x14ac:dyDescent="0.4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</row>
    <row r="876" spans="1:80" ht="9.75" hidden="1" customHeight="1" x14ac:dyDescent="0.4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1"/>
      <c r="CA876" s="51"/>
      <c r="CB876" s="51"/>
    </row>
    <row r="877" spans="1:80" ht="9.75" hidden="1" customHeight="1" x14ac:dyDescent="0.4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1"/>
      <c r="CA877" s="51"/>
      <c r="CB877" s="51"/>
    </row>
    <row r="878" spans="1:80" ht="9.75" hidden="1" customHeight="1" x14ac:dyDescent="0.4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</row>
    <row r="879" spans="1:80" ht="9.75" hidden="1" customHeight="1" x14ac:dyDescent="0.4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1"/>
      <c r="CA879" s="51"/>
      <c r="CB879" s="51"/>
    </row>
    <row r="880" spans="1:80" ht="9.75" hidden="1" customHeight="1" x14ac:dyDescent="0.4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1"/>
      <c r="CA880" s="51"/>
      <c r="CB880" s="51"/>
    </row>
    <row r="881" spans="1:80" ht="9.75" hidden="1" customHeight="1" x14ac:dyDescent="0.4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1"/>
      <c r="CA881" s="51"/>
      <c r="CB881" s="51"/>
    </row>
    <row r="882" spans="1:80" ht="9.75" hidden="1" customHeight="1" x14ac:dyDescent="0.4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1"/>
      <c r="CA882" s="51"/>
      <c r="CB882" s="51"/>
    </row>
    <row r="883" spans="1:80" ht="9.75" hidden="1" customHeight="1" x14ac:dyDescent="0.4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1"/>
      <c r="CA883" s="51"/>
      <c r="CB883" s="51"/>
    </row>
    <row r="884" spans="1:80" ht="9.75" hidden="1" customHeight="1" x14ac:dyDescent="0.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1"/>
      <c r="CA884" s="51"/>
      <c r="CB884" s="51"/>
    </row>
    <row r="885" spans="1:80" ht="9.75" hidden="1" customHeight="1" x14ac:dyDescent="0.4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</row>
    <row r="886" spans="1:80" ht="9.75" hidden="1" customHeight="1" x14ac:dyDescent="0.4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</row>
    <row r="887" spans="1:80" ht="9.75" hidden="1" customHeight="1" x14ac:dyDescent="0.4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</row>
    <row r="888" spans="1:80" ht="9.75" hidden="1" customHeight="1" x14ac:dyDescent="0.4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1"/>
      <c r="CA888" s="51"/>
      <c r="CB888" s="51"/>
    </row>
    <row r="889" spans="1:80" ht="9.75" hidden="1" customHeight="1" x14ac:dyDescent="0.4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1"/>
      <c r="CA889" s="51"/>
      <c r="CB889" s="51"/>
    </row>
    <row r="890" spans="1:80" ht="9.75" hidden="1" customHeight="1" x14ac:dyDescent="0.4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1"/>
      <c r="CA890" s="51"/>
      <c r="CB890" s="51"/>
    </row>
    <row r="891" spans="1:80" ht="9.75" hidden="1" customHeight="1" x14ac:dyDescent="0.4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1"/>
      <c r="CA891" s="51"/>
      <c r="CB891" s="51"/>
    </row>
    <row r="892" spans="1:80" ht="9.75" hidden="1" customHeight="1" x14ac:dyDescent="0.4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1"/>
      <c r="CA892" s="51"/>
      <c r="CB892" s="51"/>
    </row>
    <row r="893" spans="1:80" ht="9.75" hidden="1" customHeight="1" x14ac:dyDescent="0.4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1"/>
      <c r="CA893" s="51"/>
      <c r="CB893" s="51"/>
    </row>
    <row r="894" spans="1:80" ht="9.75" hidden="1" customHeight="1" x14ac:dyDescent="0.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1"/>
      <c r="CA894" s="51"/>
      <c r="CB894" s="51"/>
    </row>
    <row r="895" spans="1:80" ht="9.75" hidden="1" customHeight="1" x14ac:dyDescent="0.4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1"/>
      <c r="CA895" s="51"/>
      <c r="CB895" s="51"/>
    </row>
    <row r="896" spans="1:80" ht="9.75" hidden="1" customHeight="1" x14ac:dyDescent="0.4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</row>
    <row r="897" spans="1:80" ht="9.75" hidden="1" customHeight="1" x14ac:dyDescent="0.4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</row>
    <row r="898" spans="1:80" ht="9.75" hidden="1" customHeight="1" x14ac:dyDescent="0.4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1"/>
      <c r="CA898" s="51"/>
      <c r="CB898" s="51"/>
    </row>
    <row r="899" spans="1:80" ht="9.75" hidden="1" customHeight="1" x14ac:dyDescent="0.4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1"/>
      <c r="CA899" s="51"/>
      <c r="CB899" s="51"/>
    </row>
    <row r="900" spans="1:80" ht="9.75" hidden="1" customHeight="1" x14ac:dyDescent="0.4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1"/>
      <c r="CA900" s="51"/>
      <c r="CB900" s="51"/>
    </row>
    <row r="901" spans="1:80" ht="9.75" hidden="1" customHeight="1" x14ac:dyDescent="0.4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</row>
    <row r="902" spans="1:80" ht="9.75" hidden="1" customHeight="1" x14ac:dyDescent="0.4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1"/>
      <c r="CA902" s="51"/>
      <c r="CB902" s="51"/>
    </row>
    <row r="903" spans="1:80" ht="9.75" hidden="1" customHeight="1" x14ac:dyDescent="0.4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1"/>
      <c r="CA903" s="51"/>
      <c r="CB903" s="51"/>
    </row>
    <row r="904" spans="1:80" ht="9.75" hidden="1" customHeight="1" x14ac:dyDescent="0.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1"/>
      <c r="CA904" s="51"/>
      <c r="CB904" s="51"/>
    </row>
    <row r="905" spans="1:80" ht="9.75" hidden="1" customHeight="1" x14ac:dyDescent="0.4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1"/>
      <c r="CA905" s="51"/>
      <c r="CB905" s="51"/>
    </row>
    <row r="906" spans="1:80" ht="9.75" hidden="1" customHeight="1" x14ac:dyDescent="0.4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1"/>
      <c r="CA906" s="51"/>
      <c r="CB906" s="51"/>
    </row>
    <row r="907" spans="1:80" ht="9.75" hidden="1" customHeight="1" x14ac:dyDescent="0.4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1"/>
      <c r="CA907" s="51"/>
      <c r="CB907" s="51"/>
    </row>
    <row r="908" spans="1:80" ht="9.75" hidden="1" customHeight="1" x14ac:dyDescent="0.4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</row>
    <row r="909" spans="1:80" ht="9.75" hidden="1" customHeight="1" x14ac:dyDescent="0.4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1"/>
      <c r="CA909" s="51"/>
      <c r="CB909" s="51"/>
    </row>
    <row r="910" spans="1:80" ht="9.75" hidden="1" customHeight="1" x14ac:dyDescent="0.4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1"/>
      <c r="CA910" s="51"/>
      <c r="CB910" s="51"/>
    </row>
    <row r="911" spans="1:80" ht="9.75" hidden="1" customHeight="1" x14ac:dyDescent="0.4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1"/>
      <c r="CA911" s="51"/>
      <c r="CB911" s="51"/>
    </row>
    <row r="912" spans="1:80" ht="9.75" hidden="1" customHeight="1" x14ac:dyDescent="0.4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1"/>
      <c r="CA912" s="51"/>
      <c r="CB912" s="51"/>
    </row>
    <row r="913" spans="1:80" ht="9.75" hidden="1" customHeight="1" x14ac:dyDescent="0.4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1"/>
      <c r="CA913" s="51"/>
      <c r="CB913" s="51"/>
    </row>
    <row r="914" spans="1:80" ht="9.75" hidden="1" customHeight="1" x14ac:dyDescent="0.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</row>
    <row r="915" spans="1:80" ht="9.75" hidden="1" customHeight="1" x14ac:dyDescent="0.4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1"/>
      <c r="CA915" s="51"/>
      <c r="CB915" s="51"/>
    </row>
    <row r="916" spans="1:80" ht="9.75" hidden="1" customHeight="1" x14ac:dyDescent="0.4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1"/>
      <c r="CA916" s="51"/>
      <c r="CB916" s="51"/>
    </row>
    <row r="917" spans="1:80" ht="9.75" hidden="1" customHeight="1" x14ac:dyDescent="0.4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</row>
    <row r="918" spans="1:80" ht="9.75" hidden="1" customHeight="1" x14ac:dyDescent="0.4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1"/>
      <c r="CA918" s="51"/>
      <c r="CB918" s="51"/>
    </row>
    <row r="919" spans="1:80" ht="9.75" hidden="1" customHeight="1" x14ac:dyDescent="0.4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</row>
    <row r="920" spans="1:80" ht="9.75" hidden="1" customHeight="1" x14ac:dyDescent="0.4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</row>
    <row r="921" spans="1:80" ht="9.75" hidden="1" customHeight="1" x14ac:dyDescent="0.4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1"/>
      <c r="CA921" s="51"/>
      <c r="CB921" s="51"/>
    </row>
    <row r="922" spans="1:80" ht="9.75" hidden="1" customHeight="1" x14ac:dyDescent="0.4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1"/>
      <c r="CA922" s="51"/>
      <c r="CB922" s="51"/>
    </row>
    <row r="923" spans="1:80" ht="9.75" hidden="1" customHeight="1" x14ac:dyDescent="0.4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</row>
    <row r="924" spans="1:80" ht="9.75" hidden="1" customHeight="1" x14ac:dyDescent="0.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1"/>
      <c r="CA924" s="51"/>
      <c r="CB924" s="51"/>
    </row>
    <row r="925" spans="1:80" ht="9.75" hidden="1" customHeight="1" x14ac:dyDescent="0.4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</row>
    <row r="926" spans="1:80" ht="9.75" hidden="1" customHeight="1" x14ac:dyDescent="0.4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</row>
    <row r="927" spans="1:80" ht="9.75" hidden="1" customHeight="1" x14ac:dyDescent="0.4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1"/>
      <c r="CA927" s="51"/>
      <c r="CB927" s="51"/>
    </row>
    <row r="928" spans="1:80" ht="9.75" hidden="1" customHeight="1" x14ac:dyDescent="0.4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1"/>
      <c r="CA928" s="51"/>
      <c r="CB928" s="51"/>
    </row>
    <row r="929" spans="1:80" ht="9.75" hidden="1" customHeight="1" x14ac:dyDescent="0.4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1"/>
      <c r="CA929" s="51"/>
      <c r="CB929" s="51"/>
    </row>
    <row r="930" spans="1:80" ht="9.75" hidden="1" customHeight="1" x14ac:dyDescent="0.4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</row>
    <row r="931" spans="1:80" ht="9.75" hidden="1" customHeight="1" x14ac:dyDescent="0.4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1"/>
      <c r="CA931" s="51"/>
      <c r="CB931" s="51"/>
    </row>
    <row r="932" spans="1:80" ht="9.75" hidden="1" customHeight="1" x14ac:dyDescent="0.4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</row>
    <row r="933" spans="1:80" ht="9.75" hidden="1" customHeight="1" x14ac:dyDescent="0.4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1"/>
      <c r="CA933" s="51"/>
      <c r="CB933" s="51"/>
    </row>
    <row r="934" spans="1:80" ht="9.75" hidden="1" customHeight="1" x14ac:dyDescent="0.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1"/>
      <c r="CA934" s="51"/>
      <c r="CB934" s="51"/>
    </row>
    <row r="935" spans="1:80" ht="9.75" hidden="1" customHeight="1" x14ac:dyDescent="0.4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1"/>
      <c r="CA935" s="51"/>
      <c r="CB935" s="51"/>
    </row>
    <row r="936" spans="1:80" ht="9.75" hidden="1" customHeight="1" x14ac:dyDescent="0.4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</row>
    <row r="937" spans="1:80" ht="9.75" hidden="1" customHeight="1" x14ac:dyDescent="0.4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1"/>
      <c r="CA937" s="51"/>
      <c r="CB937" s="51"/>
    </row>
    <row r="938" spans="1:80" ht="9.75" hidden="1" customHeight="1" x14ac:dyDescent="0.4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</row>
    <row r="939" spans="1:80" ht="9.75" hidden="1" customHeight="1" x14ac:dyDescent="0.4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1"/>
      <c r="CA939" s="51"/>
      <c r="CB939" s="51"/>
    </row>
    <row r="940" spans="1:80" ht="9.75" hidden="1" customHeight="1" x14ac:dyDescent="0.4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1"/>
      <c r="CA940" s="51"/>
      <c r="CB940" s="51"/>
    </row>
    <row r="941" spans="1:80" ht="9.75" hidden="1" customHeight="1" x14ac:dyDescent="0.4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</row>
    <row r="942" spans="1:80" ht="9.75" hidden="1" customHeight="1" x14ac:dyDescent="0.4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1"/>
      <c r="CA942" s="51"/>
      <c r="CB942" s="51"/>
    </row>
    <row r="943" spans="1:80" ht="9.75" hidden="1" customHeight="1" x14ac:dyDescent="0.4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1"/>
      <c r="CA943" s="51"/>
      <c r="CB943" s="51"/>
    </row>
    <row r="944" spans="1:80" ht="9.75" hidden="1" customHeight="1" x14ac:dyDescent="0.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1"/>
      <c r="CA944" s="51"/>
      <c r="CB944" s="51"/>
    </row>
    <row r="945" spans="1:80" ht="9.75" hidden="1" customHeight="1" x14ac:dyDescent="0.4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1"/>
      <c r="CA945" s="51"/>
      <c r="CB945" s="51"/>
    </row>
    <row r="946" spans="1:80" ht="9.75" hidden="1" customHeight="1" x14ac:dyDescent="0.4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1"/>
      <c r="CA946" s="51"/>
      <c r="CB946" s="51"/>
    </row>
    <row r="947" spans="1:80" ht="9.75" hidden="1" customHeight="1" x14ac:dyDescent="0.4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</row>
    <row r="948" spans="1:80" ht="9.75" hidden="1" customHeight="1" x14ac:dyDescent="0.4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</row>
    <row r="949" spans="1:80" ht="9.75" hidden="1" customHeight="1" x14ac:dyDescent="0.4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1"/>
      <c r="CA949" s="51"/>
      <c r="CB949" s="51"/>
    </row>
    <row r="950" spans="1:80" ht="9.75" hidden="1" customHeight="1" x14ac:dyDescent="0.4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1"/>
      <c r="CA950" s="51"/>
      <c r="CB950" s="51"/>
    </row>
    <row r="951" spans="1:80" ht="9.75" hidden="1" customHeight="1" x14ac:dyDescent="0.4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1"/>
      <c r="CA951" s="51"/>
      <c r="CB951" s="51"/>
    </row>
    <row r="952" spans="1:80" ht="9.75" hidden="1" customHeight="1" x14ac:dyDescent="0.4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1"/>
      <c r="CA952" s="51"/>
      <c r="CB952" s="51"/>
    </row>
    <row r="953" spans="1:80" ht="9.75" hidden="1" customHeight="1" x14ac:dyDescent="0.4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1"/>
      <c r="CA953" s="51"/>
      <c r="CB953" s="51"/>
    </row>
    <row r="954" spans="1:80" ht="9.75" hidden="1" customHeight="1" x14ac:dyDescent="0.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51"/>
      <c r="BX954" s="51"/>
      <c r="BY954" s="51"/>
      <c r="BZ954" s="51"/>
      <c r="CA954" s="51"/>
      <c r="CB954" s="51"/>
    </row>
    <row r="955" spans="1:80" ht="9.75" hidden="1" customHeight="1" x14ac:dyDescent="0.4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51"/>
      <c r="BX955" s="51"/>
      <c r="BY955" s="51"/>
      <c r="BZ955" s="51"/>
      <c r="CA955" s="51"/>
      <c r="CB955" s="51"/>
    </row>
    <row r="956" spans="1:80" ht="9.75" hidden="1" customHeight="1" x14ac:dyDescent="0.4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1"/>
      <c r="CA956" s="51"/>
      <c r="CB956" s="51"/>
    </row>
    <row r="957" spans="1:80" ht="9.75" hidden="1" customHeight="1" x14ac:dyDescent="0.4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51"/>
      <c r="BX957" s="51"/>
      <c r="BY957" s="51"/>
      <c r="BZ957" s="51"/>
      <c r="CA957" s="51"/>
      <c r="CB957" s="51"/>
    </row>
    <row r="958" spans="1:80" ht="9.75" hidden="1" customHeight="1" x14ac:dyDescent="0.4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51"/>
      <c r="BX958" s="51"/>
      <c r="BY958" s="51"/>
      <c r="BZ958" s="51"/>
      <c r="CA958" s="51"/>
      <c r="CB958" s="51"/>
    </row>
    <row r="959" spans="1:80" ht="9.75" hidden="1" customHeight="1" x14ac:dyDescent="0.4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1"/>
      <c r="CA959" s="51"/>
      <c r="CB959" s="51"/>
    </row>
    <row r="960" spans="1:80" ht="9.75" hidden="1" customHeight="1" x14ac:dyDescent="0.4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51"/>
      <c r="BX960" s="51"/>
      <c r="BY960" s="51"/>
      <c r="BZ960" s="51"/>
      <c r="CA960" s="51"/>
      <c r="CB960" s="51"/>
    </row>
    <row r="961" spans="1:80" ht="9.75" hidden="1" customHeight="1" x14ac:dyDescent="0.4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51"/>
      <c r="BX961" s="51"/>
      <c r="BY961" s="51"/>
      <c r="BZ961" s="51"/>
      <c r="CA961" s="51"/>
      <c r="CB961" s="51"/>
    </row>
    <row r="962" spans="1:80" ht="9.75" hidden="1" customHeight="1" x14ac:dyDescent="0.4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1"/>
      <c r="CA962" s="51"/>
      <c r="CB962" s="51"/>
    </row>
    <row r="963" spans="1:80" ht="9.75" hidden="1" customHeight="1" x14ac:dyDescent="0.4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1"/>
      <c r="CA963" s="51"/>
      <c r="CB963" s="51"/>
    </row>
    <row r="964" spans="1:80" ht="9.75" hidden="1" customHeight="1" x14ac:dyDescent="0.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51"/>
      <c r="BX964" s="51"/>
      <c r="BY964" s="51"/>
      <c r="BZ964" s="51"/>
      <c r="CA964" s="51"/>
      <c r="CB964" s="51"/>
    </row>
    <row r="965" spans="1:80" ht="9.75" hidden="1" customHeight="1" x14ac:dyDescent="0.4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1"/>
      <c r="CA965" s="51"/>
      <c r="CB965" s="51"/>
    </row>
    <row r="966" spans="1:80" ht="9.75" hidden="1" customHeight="1" x14ac:dyDescent="0.4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51"/>
      <c r="BX966" s="51"/>
      <c r="BY966" s="51"/>
      <c r="BZ966" s="51"/>
      <c r="CA966" s="51"/>
      <c r="CB966" s="51"/>
    </row>
    <row r="967" spans="1:80" ht="9.75" hidden="1" customHeight="1" x14ac:dyDescent="0.4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51"/>
      <c r="BX967" s="51"/>
      <c r="BY967" s="51"/>
      <c r="BZ967" s="51"/>
      <c r="CA967" s="51"/>
      <c r="CB967" s="51"/>
    </row>
    <row r="968" spans="1:80" ht="9.75" hidden="1" customHeight="1" x14ac:dyDescent="0.4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</row>
    <row r="969" spans="1:80" ht="9.75" hidden="1" customHeight="1" x14ac:dyDescent="0.4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51"/>
      <c r="BX969" s="51"/>
      <c r="BY969" s="51"/>
      <c r="BZ969" s="51"/>
      <c r="CA969" s="51"/>
      <c r="CB969" s="51"/>
    </row>
    <row r="970" spans="1:80" ht="9.75" hidden="1" customHeight="1" x14ac:dyDescent="0.4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51"/>
      <c r="BX970" s="51"/>
      <c r="BY970" s="51"/>
      <c r="BZ970" s="51"/>
      <c r="CA970" s="51"/>
      <c r="CB970" s="51"/>
    </row>
    <row r="971" spans="1:80" ht="9.75" hidden="1" customHeight="1" x14ac:dyDescent="0.4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1"/>
      <c r="CA971" s="51"/>
      <c r="CB971" s="51"/>
    </row>
    <row r="972" spans="1:80" ht="9.75" hidden="1" customHeight="1" x14ac:dyDescent="0.4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51"/>
      <c r="BX972" s="51"/>
      <c r="BY972" s="51"/>
      <c r="BZ972" s="51"/>
      <c r="CA972" s="51"/>
      <c r="CB972" s="51"/>
    </row>
    <row r="973" spans="1:80" ht="9.75" hidden="1" customHeight="1" x14ac:dyDescent="0.4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51"/>
      <c r="BX973" s="51"/>
      <c r="BY973" s="51"/>
      <c r="BZ973" s="51"/>
      <c r="CA973" s="51"/>
      <c r="CB973" s="51"/>
    </row>
    <row r="974" spans="1:80" ht="9.75" hidden="1" customHeight="1" x14ac:dyDescent="0.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1"/>
      <c r="CA974" s="51"/>
      <c r="CB974" s="51"/>
    </row>
    <row r="975" spans="1:80" ht="9.75" hidden="1" customHeight="1" x14ac:dyDescent="0.4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51"/>
      <c r="BX975" s="51"/>
      <c r="BY975" s="51"/>
      <c r="BZ975" s="51"/>
      <c r="CA975" s="51"/>
      <c r="CB975" s="51"/>
    </row>
    <row r="976" spans="1:80" ht="9.75" hidden="1" customHeight="1" x14ac:dyDescent="0.4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51"/>
      <c r="BX976" s="51"/>
      <c r="BY976" s="51"/>
      <c r="BZ976" s="51"/>
      <c r="CA976" s="51"/>
      <c r="CB976" s="51"/>
    </row>
    <row r="977" spans="1:80" ht="9.75" hidden="1" customHeight="1" x14ac:dyDescent="0.4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51"/>
      <c r="BX977" s="51"/>
      <c r="BY977" s="51"/>
      <c r="BZ977" s="51"/>
      <c r="CA977" s="51"/>
      <c r="CB977" s="51"/>
    </row>
    <row r="978" spans="1:80" ht="9.75" hidden="1" customHeight="1" x14ac:dyDescent="0.4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51"/>
      <c r="BX978" s="51"/>
      <c r="BY978" s="51"/>
      <c r="BZ978" s="51"/>
      <c r="CA978" s="51"/>
      <c r="CB978" s="51"/>
    </row>
    <row r="979" spans="1:80" ht="9.75" hidden="1" customHeight="1" x14ac:dyDescent="0.4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51"/>
      <c r="BX979" s="51"/>
      <c r="BY979" s="51"/>
      <c r="BZ979" s="51"/>
      <c r="CA979" s="51"/>
      <c r="CB979" s="51"/>
    </row>
    <row r="980" spans="1:80" ht="9.75" hidden="1" customHeight="1" x14ac:dyDescent="0.4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1"/>
      <c r="CA980" s="51"/>
      <c r="CB980" s="51"/>
    </row>
    <row r="981" spans="1:80" ht="9.75" hidden="1" customHeight="1" x14ac:dyDescent="0.4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51"/>
      <c r="BX981" s="51"/>
      <c r="BY981" s="51"/>
      <c r="BZ981" s="51"/>
      <c r="CA981" s="51"/>
      <c r="CB981" s="51"/>
    </row>
    <row r="982" spans="1:80" ht="9.75" hidden="1" customHeight="1" x14ac:dyDescent="0.4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51"/>
      <c r="BX982" s="51"/>
      <c r="BY982" s="51"/>
      <c r="BZ982" s="51"/>
      <c r="CA982" s="51"/>
      <c r="CB982" s="51"/>
    </row>
    <row r="983" spans="1:80" ht="9.75" hidden="1" customHeight="1" x14ac:dyDescent="0.4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1"/>
      <c r="CA983" s="51"/>
      <c r="CB983" s="51"/>
    </row>
    <row r="984" spans="1:80" ht="9.75" hidden="1" customHeight="1" x14ac:dyDescent="0.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51"/>
      <c r="BX984" s="51"/>
      <c r="BY984" s="51"/>
      <c r="BZ984" s="51"/>
      <c r="CA984" s="51"/>
      <c r="CB984" s="51"/>
    </row>
    <row r="985" spans="1:80" ht="9.75" hidden="1" customHeight="1" x14ac:dyDescent="0.4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</row>
    <row r="986" spans="1:80" ht="9.75" hidden="1" customHeight="1" x14ac:dyDescent="0.4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51"/>
      <c r="BX986" s="51"/>
      <c r="BY986" s="51"/>
      <c r="BZ986" s="51"/>
      <c r="CA986" s="51"/>
      <c r="CB986" s="51"/>
    </row>
    <row r="987" spans="1:80" ht="9.75" hidden="1" customHeight="1" x14ac:dyDescent="0.4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1"/>
      <c r="CA987" s="51"/>
      <c r="CB987" s="51"/>
    </row>
    <row r="988" spans="1:80" ht="9.75" hidden="1" customHeight="1" x14ac:dyDescent="0.4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51"/>
      <c r="BX988" s="51"/>
      <c r="BY988" s="51"/>
      <c r="BZ988" s="51"/>
      <c r="CA988" s="51"/>
      <c r="CB988" s="51"/>
    </row>
    <row r="989" spans="1:80" ht="9.75" hidden="1" customHeight="1" x14ac:dyDescent="0.4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51"/>
      <c r="BX989" s="51"/>
      <c r="BY989" s="51"/>
      <c r="BZ989" s="51"/>
      <c r="CA989" s="51"/>
      <c r="CB989" s="51"/>
    </row>
    <row r="990" spans="1:80" ht="9.75" hidden="1" customHeight="1" x14ac:dyDescent="0.4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51"/>
      <c r="BX990" s="51"/>
      <c r="BY990" s="51"/>
      <c r="BZ990" s="51"/>
      <c r="CA990" s="51"/>
      <c r="CB990" s="51"/>
    </row>
    <row r="991" spans="1:80" ht="9.75" hidden="1" customHeight="1" x14ac:dyDescent="0.4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51"/>
      <c r="BX991" s="51"/>
      <c r="BY991" s="51"/>
      <c r="BZ991" s="51"/>
      <c r="CA991" s="51"/>
      <c r="CB991" s="51"/>
    </row>
    <row r="992" spans="1:80" ht="9.75" hidden="1" customHeight="1" x14ac:dyDescent="0.4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51"/>
      <c r="BX992" s="51"/>
      <c r="BY992" s="51"/>
      <c r="BZ992" s="51"/>
      <c r="CA992" s="51"/>
      <c r="CB992" s="51"/>
    </row>
    <row r="993" spans="1:80" ht="9.75" hidden="1" customHeight="1" x14ac:dyDescent="0.4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51"/>
      <c r="BX993" s="51"/>
      <c r="BY993" s="51"/>
      <c r="BZ993" s="51"/>
      <c r="CA993" s="51"/>
      <c r="CB993" s="51"/>
    </row>
    <row r="994" spans="1:80" ht="9.75" hidden="1" customHeight="1" x14ac:dyDescent="0.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51"/>
      <c r="BX994" s="51"/>
      <c r="BY994" s="51"/>
      <c r="BZ994" s="51"/>
      <c r="CA994" s="51"/>
      <c r="CB994" s="51"/>
    </row>
    <row r="995" spans="1:80" ht="9.75" hidden="1" customHeight="1" x14ac:dyDescent="0.4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51"/>
      <c r="BX995" s="51"/>
      <c r="BY995" s="51"/>
      <c r="BZ995" s="51"/>
      <c r="CA995" s="51"/>
      <c r="CB995" s="51"/>
    </row>
    <row r="996" spans="1:80" ht="9.75" hidden="1" customHeight="1" x14ac:dyDescent="0.4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1"/>
      <c r="CA996" s="51"/>
      <c r="CB996" s="51"/>
    </row>
    <row r="997" spans="1:80" ht="9.75" hidden="1" customHeight="1" x14ac:dyDescent="0.4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51"/>
      <c r="BX997" s="51"/>
      <c r="BY997" s="51"/>
      <c r="BZ997" s="51"/>
      <c r="CA997" s="51"/>
      <c r="CB997" s="51"/>
    </row>
    <row r="998" spans="1:80" ht="9.75" hidden="1" customHeight="1" x14ac:dyDescent="0.4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1"/>
      <c r="CA998" s="51"/>
      <c r="CB998" s="51"/>
    </row>
    <row r="999" spans="1:80" ht="9.75" hidden="1" customHeight="1" x14ac:dyDescent="0.4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51"/>
      <c r="BX999" s="51"/>
      <c r="BY999" s="51"/>
      <c r="BZ999" s="51"/>
      <c r="CA999" s="51"/>
      <c r="CB999" s="51"/>
    </row>
    <row r="1000" spans="1:80" ht="9.75" hidden="1" customHeight="1" x14ac:dyDescent="0.4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51"/>
      <c r="BX1000" s="51"/>
      <c r="BY1000" s="51"/>
      <c r="BZ1000" s="51"/>
      <c r="CA1000" s="51"/>
      <c r="CB1000" s="51"/>
    </row>
  </sheetData>
  <mergeCells count="12">
    <mergeCell ref="W2:AL3"/>
    <mergeCell ref="AO2:BD3"/>
    <mergeCell ref="BG2:CB3"/>
    <mergeCell ref="W4:AL7"/>
    <mergeCell ref="AO4:BD7"/>
    <mergeCell ref="BG4:CB7"/>
    <mergeCell ref="C9:CB10"/>
    <mergeCell ref="C11:CB24"/>
    <mergeCell ref="C26:AN27"/>
    <mergeCell ref="AQ26:CB27"/>
    <mergeCell ref="C28:AN46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5B23-CC22-4EDF-9F1A-22F4392C0660}">
  <dimension ref="A1:CB1000"/>
  <sheetViews>
    <sheetView zoomScale="120" zoomScaleNormal="120" workbookViewId="0">
      <selection activeCell="X50" sqref="X50"/>
    </sheetView>
  </sheetViews>
  <sheetFormatPr defaultColWidth="14.44140625" defaultRowHeight="15" customHeight="1" x14ac:dyDescent="0.3"/>
  <cols>
    <col min="1" max="80" width="2" customWidth="1"/>
  </cols>
  <sheetData>
    <row r="1" spans="1:80" ht="9.75" customHeight="1" thickBot="1" x14ac:dyDescent="0.4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</row>
    <row r="2" spans="1:80" ht="9.75" customHeight="1" x14ac:dyDescent="0.4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96" t="s">
        <v>562</v>
      </c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8"/>
      <c r="AM2" s="54"/>
      <c r="AN2" s="54"/>
      <c r="AO2" s="96" t="s">
        <v>564</v>
      </c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8"/>
      <c r="BE2" s="57"/>
      <c r="BF2" s="57"/>
      <c r="BG2" s="96" t="s">
        <v>563</v>
      </c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8"/>
    </row>
    <row r="3" spans="1:80" ht="9.75" customHeight="1" thickBo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1"/>
      <c r="AM3" s="54"/>
      <c r="AN3" s="54"/>
      <c r="AO3" s="99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1"/>
      <c r="BE3" s="57"/>
      <c r="BF3" s="57"/>
      <c r="BG3" s="99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1"/>
    </row>
    <row r="4" spans="1:80" ht="9.75" customHeight="1" x14ac:dyDescent="0.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102">
        <f>COUNTA(TB_Produtos[Código])</f>
        <v>321</v>
      </c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4"/>
      <c r="AM4" s="54"/>
      <c r="AN4" s="54"/>
      <c r="AO4" s="102">
        <f>SUM(TB_Vendas[Qtd])</f>
        <v>262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4"/>
      <c r="BE4" s="56"/>
      <c r="BF4" s="56"/>
      <c r="BG4" s="111">
        <f>SUM(TB_Vendas[Total])</f>
        <v>31345.100000000017</v>
      </c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3"/>
    </row>
    <row r="5" spans="1:80" ht="9.75" customHeight="1" x14ac:dyDescent="0.9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105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7"/>
      <c r="AM5" s="55"/>
      <c r="AN5" s="54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7"/>
      <c r="BE5" s="56"/>
      <c r="BF5" s="56"/>
      <c r="BG5" s="114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6"/>
    </row>
    <row r="6" spans="1:80" ht="9.75" customHeight="1" x14ac:dyDescent="0.9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105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  <c r="AM6" s="55"/>
      <c r="AN6" s="54"/>
      <c r="AO6" s="105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7"/>
      <c r="BE6" s="56"/>
      <c r="BF6" s="56"/>
      <c r="BG6" s="114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6"/>
    </row>
    <row r="7" spans="1:80" ht="9.75" customHeight="1" thickBot="1" x14ac:dyDescent="0.9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108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10"/>
      <c r="AM7" s="54"/>
      <c r="AN7" s="54"/>
      <c r="AO7" s="108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10"/>
      <c r="BE7" s="56"/>
      <c r="BF7" s="56"/>
      <c r="BG7" s="117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9"/>
    </row>
    <row r="8" spans="1:80" ht="9.75" customHeight="1" thickBot="1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</row>
    <row r="9" spans="1:80" ht="9.75" customHeight="1" x14ac:dyDescent="0.4">
      <c r="A9" s="51"/>
      <c r="B9" s="51"/>
      <c r="C9" s="86" t="s">
        <v>565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8"/>
    </row>
    <row r="10" spans="1:80" ht="9.75" customHeight="1" thickBot="1" x14ac:dyDescent="0.45">
      <c r="A10" s="51"/>
      <c r="B10" s="51"/>
      <c r="C10" s="89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1"/>
    </row>
    <row r="11" spans="1:80" ht="9.75" customHeight="1" x14ac:dyDescent="0.4">
      <c r="A11" s="51"/>
      <c r="B11" s="51"/>
      <c r="C11" s="92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8"/>
    </row>
    <row r="12" spans="1:80" ht="9.75" customHeight="1" x14ac:dyDescent="0.4">
      <c r="A12" s="51"/>
      <c r="B12" s="51"/>
      <c r="C12" s="93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5"/>
    </row>
    <row r="13" spans="1:80" ht="9.75" customHeight="1" x14ac:dyDescent="0.4">
      <c r="A13" s="51"/>
      <c r="B13" s="51"/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5"/>
    </row>
    <row r="14" spans="1:80" ht="9.75" customHeight="1" x14ac:dyDescent="0.4">
      <c r="A14" s="51"/>
      <c r="B14" s="51"/>
      <c r="C14" s="93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5"/>
    </row>
    <row r="15" spans="1:80" ht="9.75" customHeight="1" x14ac:dyDescent="0.4">
      <c r="A15" s="51"/>
      <c r="B15" s="51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5"/>
    </row>
    <row r="16" spans="1:80" ht="9.75" customHeight="1" x14ac:dyDescent="0.4">
      <c r="A16" s="51"/>
      <c r="B16" s="51"/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5"/>
    </row>
    <row r="17" spans="1:80" ht="9.75" customHeight="1" x14ac:dyDescent="0.4">
      <c r="A17" s="51"/>
      <c r="B17" s="51"/>
      <c r="C17" s="93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5"/>
    </row>
    <row r="18" spans="1:80" ht="9.75" customHeight="1" x14ac:dyDescent="0.4">
      <c r="A18" s="51"/>
      <c r="B18" s="51"/>
      <c r="C18" s="93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5"/>
    </row>
    <row r="19" spans="1:80" ht="9.75" customHeight="1" x14ac:dyDescent="0.4">
      <c r="A19" s="51"/>
      <c r="B19" s="51"/>
      <c r="C19" s="93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5"/>
    </row>
    <row r="20" spans="1:80" ht="9.75" customHeight="1" x14ac:dyDescent="0.4">
      <c r="A20" s="51"/>
      <c r="B20" s="51"/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5"/>
    </row>
    <row r="21" spans="1:80" ht="9.75" customHeight="1" x14ac:dyDescent="0.4">
      <c r="A21" s="51"/>
      <c r="B21" s="51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5"/>
    </row>
    <row r="22" spans="1:80" ht="9.75" customHeight="1" x14ac:dyDescent="0.4">
      <c r="A22" s="51"/>
      <c r="B22" s="51"/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5"/>
    </row>
    <row r="23" spans="1:80" ht="9.75" customHeight="1" x14ac:dyDescent="0.4">
      <c r="A23" s="51"/>
      <c r="B23" s="51"/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5"/>
    </row>
    <row r="24" spans="1:80" ht="9.75" customHeight="1" thickBot="1" x14ac:dyDescent="0.45">
      <c r="A24" s="51"/>
      <c r="B24" s="51"/>
      <c r="C24" s="89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1"/>
    </row>
    <row r="25" spans="1:80" ht="9.75" customHeight="1" thickBot="1" x14ac:dyDescent="0.4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</row>
    <row r="26" spans="1:80" ht="9.75" customHeight="1" x14ac:dyDescent="0.55000000000000004">
      <c r="A26" s="51"/>
      <c r="B26" s="51"/>
      <c r="C26" s="86" t="s">
        <v>566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8"/>
      <c r="AO26" s="53"/>
      <c r="AP26" s="53"/>
      <c r="AQ26" s="86" t="s">
        <v>567</v>
      </c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8"/>
    </row>
    <row r="27" spans="1:80" ht="9.75" customHeight="1" thickBot="1" x14ac:dyDescent="0.6">
      <c r="A27" s="51"/>
      <c r="B27" s="51"/>
      <c r="C27" s="89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53"/>
      <c r="AP27" s="53"/>
      <c r="AQ27" s="89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1"/>
    </row>
    <row r="28" spans="1:80" ht="9.75" customHeight="1" x14ac:dyDescent="0.4">
      <c r="A28" s="51"/>
      <c r="B28" s="51"/>
      <c r="C28" s="92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8"/>
      <c r="AO28" s="51"/>
      <c r="AP28" s="51"/>
      <c r="AQ28" s="92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8"/>
    </row>
    <row r="29" spans="1:80" ht="9.75" customHeight="1" x14ac:dyDescent="0.4">
      <c r="A29" s="51"/>
      <c r="B29" s="51"/>
      <c r="C29" s="93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5"/>
      <c r="AO29" s="51"/>
      <c r="AP29" s="51"/>
      <c r="AQ29" s="93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5"/>
    </row>
    <row r="30" spans="1:80" ht="9.75" customHeight="1" x14ac:dyDescent="0.4">
      <c r="A30" s="51"/>
      <c r="B30" s="51"/>
      <c r="C30" s="93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5"/>
      <c r="AO30" s="51"/>
      <c r="AP30" s="51"/>
      <c r="AQ30" s="93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5"/>
    </row>
    <row r="31" spans="1:80" ht="9.75" customHeight="1" x14ac:dyDescent="0.4">
      <c r="A31" s="51"/>
      <c r="B31" s="51"/>
      <c r="C31" s="9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5"/>
      <c r="AO31" s="51"/>
      <c r="AP31" s="51"/>
      <c r="AQ31" s="93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5"/>
    </row>
    <row r="32" spans="1:80" ht="9.75" customHeight="1" x14ac:dyDescent="0.4">
      <c r="A32" s="51"/>
      <c r="B32" s="51"/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5"/>
      <c r="AO32" s="51"/>
      <c r="AP32" s="51"/>
      <c r="AQ32" s="93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5"/>
    </row>
    <row r="33" spans="1:80" ht="9.75" customHeight="1" x14ac:dyDescent="0.4">
      <c r="A33" s="51"/>
      <c r="B33" s="51"/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5"/>
      <c r="AO33" s="51"/>
      <c r="AP33" s="51"/>
      <c r="AQ33" s="93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5"/>
    </row>
    <row r="34" spans="1:80" ht="9.75" customHeight="1" x14ac:dyDescent="0.4">
      <c r="A34" s="51"/>
      <c r="B34" s="51"/>
      <c r="C34" s="93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5"/>
      <c r="AO34" s="51"/>
      <c r="AP34" s="51"/>
      <c r="AQ34" s="93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5"/>
    </row>
    <row r="35" spans="1:80" ht="9.75" customHeight="1" x14ac:dyDescent="0.4">
      <c r="A35" s="51"/>
      <c r="B35" s="51"/>
      <c r="C35" s="93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5"/>
      <c r="AO35" s="51"/>
      <c r="AP35" s="51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5"/>
    </row>
    <row r="36" spans="1:80" ht="9.75" customHeight="1" x14ac:dyDescent="0.4">
      <c r="A36" s="51"/>
      <c r="B36" s="51"/>
      <c r="C36" s="93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5"/>
      <c r="AO36" s="51"/>
      <c r="AP36" s="51"/>
      <c r="AQ36" s="93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5"/>
    </row>
    <row r="37" spans="1:80" ht="9.75" customHeight="1" x14ac:dyDescent="0.4">
      <c r="A37" s="51"/>
      <c r="B37" s="51"/>
      <c r="C37" s="93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5"/>
      <c r="AO37" s="51"/>
      <c r="AP37" s="51"/>
      <c r="AQ37" s="93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5"/>
    </row>
    <row r="38" spans="1:80" ht="9.75" customHeight="1" x14ac:dyDescent="0.4">
      <c r="A38" s="51"/>
      <c r="B38" s="51"/>
      <c r="C38" s="93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5"/>
      <c r="AO38" s="51"/>
      <c r="AP38" s="51"/>
      <c r="AQ38" s="93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5"/>
    </row>
    <row r="39" spans="1:80" ht="9.75" customHeight="1" x14ac:dyDescent="0.4">
      <c r="A39" s="51"/>
      <c r="B39" s="51"/>
      <c r="C39" s="93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5"/>
      <c r="AO39" s="51"/>
      <c r="AP39" s="51"/>
      <c r="AQ39" s="93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5"/>
    </row>
    <row r="40" spans="1:80" ht="9.75" customHeight="1" x14ac:dyDescent="0.4">
      <c r="A40" s="51"/>
      <c r="B40" s="51"/>
      <c r="C40" s="93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5"/>
      <c r="AO40" s="51"/>
      <c r="AP40" s="51"/>
      <c r="AQ40" s="93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5"/>
    </row>
    <row r="41" spans="1:80" ht="9.75" customHeight="1" x14ac:dyDescent="0.4">
      <c r="A41" s="51"/>
      <c r="B41" s="51"/>
      <c r="C41" s="93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5"/>
      <c r="AO41" s="51"/>
      <c r="AP41" s="51"/>
      <c r="AQ41" s="93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5"/>
    </row>
    <row r="42" spans="1:80" ht="9.75" customHeight="1" x14ac:dyDescent="0.4">
      <c r="A42" s="51"/>
      <c r="B42" s="51"/>
      <c r="C42" s="93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5"/>
      <c r="AO42" s="51"/>
      <c r="AP42" s="51"/>
      <c r="AQ42" s="93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5"/>
    </row>
    <row r="43" spans="1:80" ht="9.75" customHeight="1" x14ac:dyDescent="0.4">
      <c r="A43" s="51"/>
      <c r="B43" s="51"/>
      <c r="C43" s="93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5"/>
      <c r="AO43" s="51"/>
      <c r="AP43" s="51"/>
      <c r="AQ43" s="93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5"/>
    </row>
    <row r="44" spans="1:80" ht="9.75" customHeight="1" x14ac:dyDescent="0.4">
      <c r="A44" s="51"/>
      <c r="B44" s="51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5"/>
      <c r="AO44" s="51"/>
      <c r="AP44" s="51"/>
      <c r="AQ44" s="93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5"/>
    </row>
    <row r="45" spans="1:80" ht="9.75" customHeight="1" x14ac:dyDescent="0.4">
      <c r="A45" s="51"/>
      <c r="B45" s="51"/>
      <c r="C45" s="93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5"/>
      <c r="AO45" s="51"/>
      <c r="AP45" s="51"/>
      <c r="AQ45" s="93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5"/>
    </row>
    <row r="46" spans="1:80" ht="9.75" customHeight="1" thickBot="1" x14ac:dyDescent="0.45">
      <c r="A46" s="51"/>
      <c r="B46" s="51"/>
      <c r="C46" s="89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51"/>
      <c r="AP46" s="51"/>
      <c r="AQ46" s="89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1"/>
    </row>
    <row r="47" spans="1:80" ht="9.75" customHeight="1" x14ac:dyDescent="0.4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</row>
    <row r="48" spans="1:80" ht="9.75" customHeight="1" x14ac:dyDescent="0.4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</row>
    <row r="49" spans="1:80" ht="9.75" customHeight="1" x14ac:dyDescent="0.4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</row>
    <row r="50" spans="1:80" ht="9.75" customHeight="1" x14ac:dyDescent="0.4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</row>
    <row r="51" spans="1:80" ht="9.75" customHeight="1" x14ac:dyDescent="0.4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</row>
    <row r="52" spans="1:80" ht="9.75" customHeight="1" x14ac:dyDescent="0.4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</row>
    <row r="53" spans="1:80" ht="9.75" customHeight="1" x14ac:dyDescent="0.4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</row>
    <row r="54" spans="1:80" ht="9.75" customHeight="1" x14ac:dyDescent="0.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</row>
    <row r="55" spans="1:80" ht="9.75" customHeight="1" x14ac:dyDescent="0.4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</row>
    <row r="56" spans="1:80" ht="9.75" customHeight="1" x14ac:dyDescent="0.4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</row>
    <row r="57" spans="1:80" ht="9.75" customHeight="1" x14ac:dyDescent="0.4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</row>
    <row r="58" spans="1:80" ht="9.75" customHeight="1" x14ac:dyDescent="0.4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</row>
    <row r="59" spans="1:80" ht="9.75" customHeight="1" x14ac:dyDescent="0.4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</row>
    <row r="60" spans="1:80" ht="9.75" customHeight="1" x14ac:dyDescent="0.4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</row>
    <row r="61" spans="1:80" ht="9.75" customHeight="1" x14ac:dyDescent="0.4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</row>
    <row r="62" spans="1:80" ht="9.75" customHeight="1" x14ac:dyDescent="0.4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</row>
    <row r="63" spans="1:80" ht="9.75" customHeight="1" x14ac:dyDescent="0.4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</row>
    <row r="64" spans="1:80" ht="9.75" customHeight="1" x14ac:dyDescent="0.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</row>
    <row r="65" spans="1:80" ht="9.75" customHeight="1" x14ac:dyDescent="0.4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</row>
    <row r="66" spans="1:80" ht="9.75" customHeight="1" x14ac:dyDescent="0.4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</row>
    <row r="67" spans="1:80" ht="9.75" customHeight="1" x14ac:dyDescent="0.4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</row>
    <row r="68" spans="1:80" ht="9.75" customHeight="1" x14ac:dyDescent="0.4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</row>
    <row r="69" spans="1:80" ht="9.75" customHeight="1" x14ac:dyDescent="0.4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</row>
    <row r="70" spans="1:80" ht="9.75" customHeight="1" x14ac:dyDescent="0.4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</row>
    <row r="71" spans="1:80" ht="9.75" customHeight="1" x14ac:dyDescent="0.4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</row>
    <row r="72" spans="1:80" ht="9.75" customHeight="1" x14ac:dyDescent="0.4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</row>
    <row r="73" spans="1:80" ht="9.75" customHeight="1" x14ac:dyDescent="0.4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</row>
    <row r="74" spans="1:80" ht="9.75" customHeight="1" x14ac:dyDescent="0.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</row>
    <row r="75" spans="1:80" ht="9.75" customHeight="1" x14ac:dyDescent="0.4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</row>
    <row r="76" spans="1:80" ht="9.75" customHeight="1" x14ac:dyDescent="0.4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</row>
    <row r="77" spans="1:80" ht="9.75" customHeight="1" x14ac:dyDescent="0.4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</row>
    <row r="78" spans="1:80" ht="9.75" customHeight="1" x14ac:dyDescent="0.4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</row>
    <row r="79" spans="1:80" ht="9.75" customHeight="1" x14ac:dyDescent="0.4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</row>
    <row r="80" spans="1:80" ht="9.75" customHeight="1" x14ac:dyDescent="0.4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</row>
    <row r="81" spans="1:80" ht="9.75" customHeight="1" x14ac:dyDescent="0.4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</row>
    <row r="82" spans="1:80" ht="9.75" customHeight="1" x14ac:dyDescent="0.4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</row>
    <row r="83" spans="1:80" ht="9.75" customHeight="1" x14ac:dyDescent="0.4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</row>
    <row r="84" spans="1:80" ht="9.75" customHeight="1" x14ac:dyDescent="0.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</row>
    <row r="85" spans="1:80" ht="9.75" customHeight="1" x14ac:dyDescent="0.4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</row>
    <row r="86" spans="1:80" ht="9.75" customHeight="1" x14ac:dyDescent="0.4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</row>
    <row r="87" spans="1:80" ht="9.75" customHeight="1" x14ac:dyDescent="0.4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</row>
    <row r="88" spans="1:80" ht="9.75" customHeight="1" x14ac:dyDescent="0.4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</row>
    <row r="89" spans="1:80" ht="9.75" customHeight="1" x14ac:dyDescent="0.4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</row>
    <row r="90" spans="1:80" ht="9.75" customHeight="1" x14ac:dyDescent="0.4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</row>
    <row r="91" spans="1:80" ht="9.75" customHeight="1" x14ac:dyDescent="0.4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</row>
    <row r="92" spans="1:80" ht="9.75" customHeight="1" x14ac:dyDescent="0.4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</row>
    <row r="93" spans="1:80" ht="9.75" customHeight="1" x14ac:dyDescent="0.4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</row>
    <row r="94" spans="1:80" ht="9.75" customHeight="1" x14ac:dyDescent="0.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</row>
    <row r="95" spans="1:80" ht="9.75" customHeight="1" x14ac:dyDescent="0.4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</row>
    <row r="96" spans="1:80" ht="9.75" customHeight="1" x14ac:dyDescent="0.4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</row>
    <row r="97" spans="1:80" ht="9.75" customHeight="1" x14ac:dyDescent="0.4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</row>
    <row r="98" spans="1:80" ht="9.75" customHeight="1" x14ac:dyDescent="0.4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</row>
    <row r="99" spans="1:80" ht="9.75" customHeight="1" x14ac:dyDescent="0.4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</row>
    <row r="100" spans="1:80" ht="9.75" customHeight="1" x14ac:dyDescent="0.4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</row>
    <row r="101" spans="1:80" ht="9.75" customHeight="1" x14ac:dyDescent="0.4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</row>
    <row r="102" spans="1:80" ht="9.75" customHeight="1" x14ac:dyDescent="0.4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</row>
    <row r="103" spans="1:80" ht="9.75" customHeight="1" x14ac:dyDescent="0.4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</row>
    <row r="104" spans="1:80" ht="9.75" customHeight="1" x14ac:dyDescent="0.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</row>
    <row r="105" spans="1:80" ht="9.75" customHeight="1" x14ac:dyDescent="0.4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</row>
    <row r="106" spans="1:80" ht="9.75" customHeight="1" x14ac:dyDescent="0.4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</row>
    <row r="107" spans="1:80" ht="9.75" customHeight="1" x14ac:dyDescent="0.4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</row>
    <row r="108" spans="1:80" ht="9.75" customHeight="1" x14ac:dyDescent="0.4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</row>
    <row r="109" spans="1:80" ht="9.75" customHeight="1" x14ac:dyDescent="0.4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</row>
    <row r="110" spans="1:80" ht="9.75" customHeight="1" x14ac:dyDescent="0.4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</row>
    <row r="111" spans="1:80" ht="9.75" customHeight="1" x14ac:dyDescent="0.4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</row>
    <row r="112" spans="1:80" ht="9.75" customHeight="1" x14ac:dyDescent="0.4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</row>
    <row r="113" spans="1:80" ht="9.75" customHeight="1" x14ac:dyDescent="0.4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</row>
    <row r="114" spans="1:80" ht="9.75" customHeight="1" x14ac:dyDescent="0.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</row>
    <row r="115" spans="1:80" ht="9.75" customHeight="1" x14ac:dyDescent="0.4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</row>
    <row r="116" spans="1:80" ht="9.75" customHeight="1" x14ac:dyDescent="0.4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</row>
    <row r="117" spans="1:80" ht="9.75" customHeight="1" x14ac:dyDescent="0.4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</row>
    <row r="118" spans="1:80" ht="9.75" customHeight="1" x14ac:dyDescent="0.4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</row>
    <row r="119" spans="1:80" ht="9.75" customHeight="1" x14ac:dyDescent="0.4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</row>
    <row r="120" spans="1:80" ht="9.75" customHeight="1" x14ac:dyDescent="0.4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</row>
    <row r="121" spans="1:80" ht="9.75" customHeight="1" x14ac:dyDescent="0.4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</row>
    <row r="122" spans="1:80" ht="9.75" customHeight="1" x14ac:dyDescent="0.4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</row>
    <row r="123" spans="1:80" ht="9.75" customHeight="1" x14ac:dyDescent="0.4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</row>
    <row r="124" spans="1:80" ht="9.75" customHeight="1" x14ac:dyDescent="0.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</row>
    <row r="125" spans="1:80" ht="9.75" customHeight="1" x14ac:dyDescent="0.4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</row>
    <row r="126" spans="1:80" ht="9.75" customHeight="1" x14ac:dyDescent="0.4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</row>
    <row r="127" spans="1:80" ht="9.75" customHeight="1" x14ac:dyDescent="0.4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</row>
    <row r="128" spans="1:80" ht="9.75" customHeight="1" x14ac:dyDescent="0.4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</row>
    <row r="129" spans="1:80" ht="9.75" customHeight="1" x14ac:dyDescent="0.4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</row>
    <row r="130" spans="1:80" ht="9.75" customHeight="1" x14ac:dyDescent="0.4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</row>
    <row r="131" spans="1:80" ht="9.75" customHeight="1" x14ac:dyDescent="0.4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</row>
    <row r="132" spans="1:80" ht="9.75" customHeight="1" x14ac:dyDescent="0.4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</row>
    <row r="133" spans="1:80" ht="9.75" customHeight="1" x14ac:dyDescent="0.4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</row>
    <row r="134" spans="1:80" ht="9.75" customHeight="1" x14ac:dyDescent="0.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</row>
    <row r="135" spans="1:80" ht="9.75" customHeight="1" x14ac:dyDescent="0.4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</row>
    <row r="136" spans="1:80" ht="9.75" customHeight="1" x14ac:dyDescent="0.4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</row>
    <row r="137" spans="1:80" ht="9.75" customHeight="1" x14ac:dyDescent="0.4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</row>
    <row r="138" spans="1:80" ht="9.75" customHeight="1" x14ac:dyDescent="0.4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</row>
    <row r="139" spans="1:80" ht="9.75" customHeight="1" x14ac:dyDescent="0.4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</row>
    <row r="140" spans="1:80" ht="9.75" customHeight="1" x14ac:dyDescent="0.4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</row>
    <row r="141" spans="1:80" ht="9.75" customHeight="1" x14ac:dyDescent="0.4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</row>
    <row r="142" spans="1:80" ht="9.75" customHeight="1" x14ac:dyDescent="0.4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</row>
    <row r="143" spans="1:80" ht="9.75" customHeight="1" x14ac:dyDescent="0.4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</row>
    <row r="144" spans="1:80" ht="9.75" customHeight="1" x14ac:dyDescent="0.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</row>
    <row r="145" spans="1:80" ht="9.75" customHeight="1" x14ac:dyDescent="0.4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</row>
    <row r="146" spans="1:80" ht="9.75" customHeight="1" x14ac:dyDescent="0.4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</row>
    <row r="147" spans="1:80" ht="9.75" customHeight="1" x14ac:dyDescent="0.4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</row>
    <row r="148" spans="1:80" ht="9.75" customHeight="1" x14ac:dyDescent="0.4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</row>
    <row r="149" spans="1:80" ht="9.75" customHeight="1" x14ac:dyDescent="0.4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</row>
    <row r="150" spans="1:80" ht="9.75" customHeight="1" x14ac:dyDescent="0.4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</row>
    <row r="151" spans="1:80" ht="9.75" customHeight="1" x14ac:dyDescent="0.4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</row>
    <row r="152" spans="1:80" ht="9.75" customHeight="1" x14ac:dyDescent="0.4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</row>
    <row r="153" spans="1:80" ht="9.75" customHeight="1" x14ac:dyDescent="0.4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</row>
    <row r="154" spans="1:80" ht="9.75" customHeight="1" x14ac:dyDescent="0.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</row>
    <row r="155" spans="1:80" ht="9.75" customHeight="1" x14ac:dyDescent="0.4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</row>
    <row r="156" spans="1:80" ht="9.75" customHeight="1" x14ac:dyDescent="0.4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</row>
    <row r="157" spans="1:80" ht="9.75" customHeight="1" x14ac:dyDescent="0.4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</row>
    <row r="158" spans="1:80" ht="9.75" customHeight="1" x14ac:dyDescent="0.4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</row>
    <row r="159" spans="1:80" ht="9.75" customHeight="1" x14ac:dyDescent="0.4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</row>
    <row r="160" spans="1:80" ht="9.75" customHeight="1" x14ac:dyDescent="0.4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</row>
    <row r="161" spans="1:80" ht="9.75" customHeight="1" x14ac:dyDescent="0.4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</row>
    <row r="162" spans="1:80" ht="9.75" customHeight="1" x14ac:dyDescent="0.4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</row>
    <row r="163" spans="1:80" ht="9.75" customHeight="1" x14ac:dyDescent="0.4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</row>
    <row r="164" spans="1:80" ht="9.75" customHeight="1" x14ac:dyDescent="0.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</row>
    <row r="165" spans="1:80" ht="9.75" customHeight="1" x14ac:dyDescent="0.4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</row>
    <row r="166" spans="1:80" ht="9.75" customHeight="1" x14ac:dyDescent="0.4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</row>
    <row r="167" spans="1:80" ht="9.75" customHeight="1" x14ac:dyDescent="0.4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</row>
    <row r="168" spans="1:80" ht="9.75" customHeight="1" x14ac:dyDescent="0.4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</row>
    <row r="169" spans="1:80" ht="9.75" customHeight="1" x14ac:dyDescent="0.4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</row>
    <row r="170" spans="1:80" ht="9.75" customHeight="1" x14ac:dyDescent="0.4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</row>
    <row r="171" spans="1:80" ht="9.75" customHeight="1" x14ac:dyDescent="0.4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</row>
    <row r="172" spans="1:80" ht="9.75" customHeight="1" x14ac:dyDescent="0.4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</row>
    <row r="173" spans="1:80" ht="9.75" customHeight="1" x14ac:dyDescent="0.4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</row>
    <row r="174" spans="1:80" ht="9.75" customHeight="1" x14ac:dyDescent="0.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</row>
    <row r="175" spans="1:80" ht="9.75" customHeight="1" x14ac:dyDescent="0.4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</row>
    <row r="176" spans="1:80" ht="9.75" customHeight="1" x14ac:dyDescent="0.4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</row>
    <row r="177" spans="1:80" ht="9.75" customHeight="1" x14ac:dyDescent="0.4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</row>
    <row r="178" spans="1:80" ht="9.75" customHeight="1" x14ac:dyDescent="0.4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</row>
    <row r="179" spans="1:80" ht="9.75" customHeight="1" x14ac:dyDescent="0.4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</row>
    <row r="180" spans="1:80" ht="9.75" customHeight="1" x14ac:dyDescent="0.4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</row>
    <row r="181" spans="1:80" ht="9.75" customHeight="1" x14ac:dyDescent="0.4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</row>
    <row r="182" spans="1:80" ht="9.75" customHeight="1" x14ac:dyDescent="0.4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</row>
    <row r="183" spans="1:80" ht="9.75" customHeight="1" x14ac:dyDescent="0.4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</row>
    <row r="184" spans="1:80" ht="9.75" customHeight="1" x14ac:dyDescent="0.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</row>
    <row r="185" spans="1:80" ht="9.75" customHeight="1" x14ac:dyDescent="0.4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</row>
    <row r="186" spans="1:80" ht="9.75" customHeight="1" x14ac:dyDescent="0.4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</row>
    <row r="187" spans="1:80" ht="9.75" customHeight="1" x14ac:dyDescent="0.4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</row>
    <row r="188" spans="1:80" ht="9.75" customHeight="1" x14ac:dyDescent="0.4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</row>
    <row r="189" spans="1:80" ht="9.75" customHeight="1" x14ac:dyDescent="0.4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</row>
    <row r="190" spans="1:80" ht="9.75" customHeight="1" x14ac:dyDescent="0.4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</row>
    <row r="191" spans="1:80" ht="9.75" customHeight="1" x14ac:dyDescent="0.4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</row>
    <row r="192" spans="1:80" ht="9.75" customHeight="1" x14ac:dyDescent="0.4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</row>
    <row r="193" spans="1:80" ht="9.75" customHeight="1" x14ac:dyDescent="0.4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</row>
    <row r="194" spans="1:80" ht="9.75" customHeight="1" x14ac:dyDescent="0.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</row>
    <row r="195" spans="1:80" ht="9.75" customHeight="1" x14ac:dyDescent="0.4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</row>
    <row r="196" spans="1:80" ht="9.75" customHeight="1" x14ac:dyDescent="0.4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</row>
    <row r="197" spans="1:80" ht="9.75" customHeight="1" x14ac:dyDescent="0.4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</row>
    <row r="198" spans="1:80" ht="9.75" customHeight="1" x14ac:dyDescent="0.4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</row>
    <row r="199" spans="1:80" ht="9.75" customHeight="1" x14ac:dyDescent="0.4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</row>
    <row r="200" spans="1:80" ht="9.75" customHeight="1" x14ac:dyDescent="0.4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</row>
    <row r="201" spans="1:80" ht="9.75" customHeight="1" x14ac:dyDescent="0.4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</row>
    <row r="202" spans="1:80" ht="9.75" customHeight="1" x14ac:dyDescent="0.4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</row>
    <row r="203" spans="1:80" ht="9.75" customHeight="1" x14ac:dyDescent="0.4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</row>
    <row r="204" spans="1:80" ht="9.75" customHeight="1" x14ac:dyDescent="0.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</row>
    <row r="205" spans="1:80" ht="9.75" customHeight="1" x14ac:dyDescent="0.4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</row>
    <row r="206" spans="1:80" ht="9.75" customHeight="1" x14ac:dyDescent="0.4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</row>
    <row r="207" spans="1:80" ht="9.75" customHeight="1" x14ac:dyDescent="0.4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</row>
    <row r="208" spans="1:80" ht="9.75" customHeight="1" x14ac:dyDescent="0.4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</row>
    <row r="209" spans="1:80" ht="9.75" customHeight="1" x14ac:dyDescent="0.4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</row>
    <row r="210" spans="1:80" ht="9.75" customHeight="1" x14ac:dyDescent="0.4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</row>
    <row r="211" spans="1:80" ht="9.75" customHeight="1" x14ac:dyDescent="0.4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</row>
    <row r="212" spans="1:80" ht="9.75" customHeight="1" x14ac:dyDescent="0.4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</row>
    <row r="213" spans="1:80" ht="9.75" customHeight="1" x14ac:dyDescent="0.4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</row>
    <row r="214" spans="1:80" ht="9.75" customHeight="1" x14ac:dyDescent="0.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</row>
    <row r="215" spans="1:80" ht="9.75" customHeight="1" x14ac:dyDescent="0.4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</row>
    <row r="216" spans="1:80" ht="9.75" customHeight="1" x14ac:dyDescent="0.4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</row>
    <row r="217" spans="1:80" ht="9.75" customHeight="1" x14ac:dyDescent="0.4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</row>
    <row r="218" spans="1:80" ht="9.75" customHeight="1" x14ac:dyDescent="0.4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</row>
    <row r="219" spans="1:80" ht="9.75" customHeight="1" x14ac:dyDescent="0.4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</row>
    <row r="220" spans="1:80" ht="9.75" customHeight="1" x14ac:dyDescent="0.4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</row>
    <row r="221" spans="1:80" ht="9.75" customHeight="1" x14ac:dyDescent="0.4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</row>
    <row r="222" spans="1:80" ht="9.75" customHeight="1" x14ac:dyDescent="0.4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</row>
    <row r="223" spans="1:80" ht="9.75" customHeight="1" x14ac:dyDescent="0.4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</row>
    <row r="224" spans="1:80" ht="9.75" customHeight="1" x14ac:dyDescent="0.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</row>
    <row r="225" spans="1:80" ht="9.75" customHeight="1" x14ac:dyDescent="0.4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</row>
    <row r="226" spans="1:80" ht="9.75" customHeight="1" x14ac:dyDescent="0.4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</row>
    <row r="227" spans="1:80" ht="9.75" customHeight="1" x14ac:dyDescent="0.4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</row>
    <row r="228" spans="1:80" ht="9.75" customHeight="1" x14ac:dyDescent="0.4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</row>
    <row r="229" spans="1:80" ht="9.75" customHeight="1" x14ac:dyDescent="0.4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</row>
    <row r="230" spans="1:80" ht="9.75" customHeight="1" x14ac:dyDescent="0.4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</row>
    <row r="231" spans="1:80" ht="9.75" customHeight="1" x14ac:dyDescent="0.4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</row>
    <row r="232" spans="1:80" ht="9.75" customHeight="1" x14ac:dyDescent="0.4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</row>
    <row r="233" spans="1:80" ht="9.75" customHeight="1" x14ac:dyDescent="0.4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</row>
    <row r="234" spans="1:80" ht="9.75" customHeight="1" x14ac:dyDescent="0.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</row>
    <row r="235" spans="1:80" ht="9.75" customHeight="1" x14ac:dyDescent="0.4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</row>
    <row r="236" spans="1:80" ht="9.75" customHeight="1" x14ac:dyDescent="0.4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</row>
    <row r="237" spans="1:80" ht="9.75" customHeight="1" x14ac:dyDescent="0.4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</row>
    <row r="238" spans="1:80" ht="9.75" customHeight="1" x14ac:dyDescent="0.4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</row>
    <row r="239" spans="1:80" ht="9.75" customHeight="1" x14ac:dyDescent="0.4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</row>
    <row r="240" spans="1:80" ht="9.75" customHeight="1" x14ac:dyDescent="0.4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</row>
    <row r="241" spans="1:80" ht="9.75" customHeight="1" x14ac:dyDescent="0.4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</row>
    <row r="242" spans="1:80" ht="9.75" customHeight="1" x14ac:dyDescent="0.4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</row>
    <row r="243" spans="1:80" ht="9.75" customHeight="1" x14ac:dyDescent="0.4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</row>
    <row r="244" spans="1:80" ht="9.75" customHeight="1" x14ac:dyDescent="0.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</row>
    <row r="245" spans="1:80" ht="9.75" customHeight="1" x14ac:dyDescent="0.4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</row>
    <row r="246" spans="1:80" ht="9.75" customHeight="1" x14ac:dyDescent="0.4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</row>
    <row r="247" spans="1:80" ht="9.75" customHeight="1" x14ac:dyDescent="0.4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</row>
    <row r="248" spans="1:80" ht="9.75" customHeight="1" x14ac:dyDescent="0.4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</row>
    <row r="249" spans="1:80" ht="9.75" customHeight="1" x14ac:dyDescent="0.4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</row>
    <row r="250" spans="1:80" ht="9.75" customHeight="1" x14ac:dyDescent="0.4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</row>
    <row r="251" spans="1:80" ht="9.75" customHeight="1" x14ac:dyDescent="0.4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</row>
    <row r="252" spans="1:80" ht="9.75" customHeight="1" x14ac:dyDescent="0.4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</row>
    <row r="253" spans="1:80" ht="9.75" customHeight="1" x14ac:dyDescent="0.4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</row>
    <row r="254" spans="1:80" ht="9.75" customHeight="1" x14ac:dyDescent="0.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</row>
    <row r="255" spans="1:80" ht="9.75" customHeight="1" x14ac:dyDescent="0.4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</row>
    <row r="256" spans="1:80" ht="9.75" customHeight="1" x14ac:dyDescent="0.4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</row>
    <row r="257" spans="1:80" ht="9.75" customHeight="1" x14ac:dyDescent="0.4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</row>
    <row r="258" spans="1:80" ht="9.75" customHeight="1" x14ac:dyDescent="0.4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</row>
    <row r="259" spans="1:80" ht="9.75" customHeight="1" x14ac:dyDescent="0.4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</row>
    <row r="260" spans="1:80" ht="9.75" customHeight="1" x14ac:dyDescent="0.4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</row>
    <row r="261" spans="1:80" ht="9.75" customHeight="1" x14ac:dyDescent="0.4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</row>
    <row r="262" spans="1:80" ht="9.75" customHeight="1" x14ac:dyDescent="0.4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</row>
    <row r="263" spans="1:80" ht="9.75" customHeight="1" x14ac:dyDescent="0.4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</row>
    <row r="264" spans="1:80" ht="9.75" customHeight="1" x14ac:dyDescent="0.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</row>
    <row r="265" spans="1:80" ht="9.75" customHeight="1" x14ac:dyDescent="0.4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</row>
    <row r="266" spans="1:80" ht="9.75" customHeight="1" x14ac:dyDescent="0.4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</row>
    <row r="267" spans="1:80" ht="9.75" customHeight="1" x14ac:dyDescent="0.4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</row>
    <row r="268" spans="1:80" ht="9.75" customHeight="1" x14ac:dyDescent="0.4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</row>
    <row r="269" spans="1:80" ht="9.75" customHeight="1" x14ac:dyDescent="0.4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</row>
    <row r="270" spans="1:80" ht="9.75" customHeight="1" x14ac:dyDescent="0.4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</row>
    <row r="271" spans="1:80" ht="9.75" customHeight="1" x14ac:dyDescent="0.4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</row>
    <row r="272" spans="1:80" ht="9.75" customHeight="1" x14ac:dyDescent="0.4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</row>
    <row r="273" spans="1:80" ht="9.75" customHeight="1" x14ac:dyDescent="0.4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</row>
    <row r="274" spans="1:80" ht="9.75" customHeight="1" x14ac:dyDescent="0.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</row>
    <row r="275" spans="1:80" ht="9.75" customHeight="1" x14ac:dyDescent="0.4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</row>
    <row r="276" spans="1:80" ht="9.75" customHeight="1" x14ac:dyDescent="0.4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</row>
    <row r="277" spans="1:80" ht="9.75" customHeight="1" x14ac:dyDescent="0.4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</row>
    <row r="278" spans="1:80" ht="9.75" customHeight="1" x14ac:dyDescent="0.4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</row>
    <row r="279" spans="1:80" ht="9.75" customHeight="1" x14ac:dyDescent="0.4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</row>
    <row r="280" spans="1:80" ht="9.75" customHeight="1" x14ac:dyDescent="0.4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</row>
    <row r="281" spans="1:80" ht="9.75" customHeight="1" x14ac:dyDescent="0.4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</row>
    <row r="282" spans="1:80" ht="9.75" customHeight="1" x14ac:dyDescent="0.4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</row>
    <row r="283" spans="1:80" ht="9.75" customHeight="1" x14ac:dyDescent="0.4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</row>
    <row r="284" spans="1:80" ht="9.75" customHeight="1" x14ac:dyDescent="0.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</row>
    <row r="285" spans="1:80" ht="9.75" customHeight="1" x14ac:dyDescent="0.4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</row>
    <row r="286" spans="1:80" ht="9.75" customHeight="1" x14ac:dyDescent="0.4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</row>
    <row r="287" spans="1:80" ht="9.75" customHeight="1" x14ac:dyDescent="0.4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</row>
    <row r="288" spans="1:80" ht="9.75" customHeight="1" x14ac:dyDescent="0.4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</row>
    <row r="289" spans="1:80" ht="9.75" customHeight="1" x14ac:dyDescent="0.4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</row>
    <row r="290" spans="1:80" ht="9.75" customHeight="1" x14ac:dyDescent="0.4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</row>
    <row r="291" spans="1:80" ht="9.75" customHeight="1" x14ac:dyDescent="0.4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</row>
    <row r="292" spans="1:80" ht="9.75" customHeight="1" x14ac:dyDescent="0.4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</row>
    <row r="293" spans="1:80" ht="9.75" customHeight="1" x14ac:dyDescent="0.4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</row>
    <row r="294" spans="1:80" ht="9.75" customHeight="1" x14ac:dyDescent="0.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</row>
    <row r="295" spans="1:80" ht="9.75" customHeight="1" x14ac:dyDescent="0.4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</row>
    <row r="296" spans="1:80" ht="9.75" customHeight="1" x14ac:dyDescent="0.4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</row>
    <row r="297" spans="1:80" ht="9.75" customHeight="1" x14ac:dyDescent="0.4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</row>
    <row r="298" spans="1:80" ht="9.75" customHeight="1" x14ac:dyDescent="0.4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</row>
    <row r="299" spans="1:80" ht="9.75" customHeight="1" x14ac:dyDescent="0.4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</row>
    <row r="300" spans="1:80" ht="9.75" customHeight="1" x14ac:dyDescent="0.4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</row>
    <row r="301" spans="1:80" ht="9.75" customHeight="1" x14ac:dyDescent="0.4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</row>
    <row r="302" spans="1:80" ht="9.75" customHeight="1" x14ac:dyDescent="0.4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</row>
    <row r="303" spans="1:80" ht="9.75" customHeight="1" x14ac:dyDescent="0.4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</row>
    <row r="304" spans="1:80" ht="9.75" customHeight="1" x14ac:dyDescent="0.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</row>
    <row r="305" spans="1:80" ht="9.75" customHeight="1" x14ac:dyDescent="0.4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</row>
    <row r="306" spans="1:80" ht="9.75" customHeight="1" x14ac:dyDescent="0.4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</row>
    <row r="307" spans="1:80" ht="9.75" customHeight="1" x14ac:dyDescent="0.4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</row>
    <row r="308" spans="1:80" ht="9.75" customHeight="1" x14ac:dyDescent="0.4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</row>
    <row r="309" spans="1:80" ht="9.75" customHeight="1" x14ac:dyDescent="0.4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</row>
    <row r="310" spans="1:80" ht="9.75" customHeight="1" x14ac:dyDescent="0.4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</row>
    <row r="311" spans="1:80" ht="9.75" customHeight="1" x14ac:dyDescent="0.4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</row>
    <row r="312" spans="1:80" ht="9.75" customHeight="1" x14ac:dyDescent="0.4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</row>
    <row r="313" spans="1:80" ht="9.75" customHeight="1" x14ac:dyDescent="0.4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</row>
    <row r="314" spans="1:80" ht="9.75" customHeight="1" x14ac:dyDescent="0.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</row>
    <row r="315" spans="1:80" ht="9.75" customHeight="1" x14ac:dyDescent="0.4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</row>
    <row r="316" spans="1:80" ht="9.75" customHeight="1" x14ac:dyDescent="0.4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</row>
    <row r="317" spans="1:80" ht="9.75" customHeight="1" x14ac:dyDescent="0.4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</row>
    <row r="318" spans="1:80" ht="9.75" customHeight="1" x14ac:dyDescent="0.4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</row>
    <row r="319" spans="1:80" ht="9.75" customHeight="1" x14ac:dyDescent="0.4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</row>
    <row r="320" spans="1:80" ht="9.75" customHeight="1" x14ac:dyDescent="0.4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</row>
    <row r="321" spans="1:80" ht="9.75" customHeight="1" x14ac:dyDescent="0.4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</row>
    <row r="322" spans="1:80" ht="9.75" customHeight="1" x14ac:dyDescent="0.4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</row>
    <row r="323" spans="1:80" ht="9.75" customHeight="1" x14ac:dyDescent="0.4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</row>
    <row r="324" spans="1:80" ht="9.75" customHeight="1" x14ac:dyDescent="0.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</row>
    <row r="325" spans="1:80" ht="9.75" customHeight="1" x14ac:dyDescent="0.4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</row>
    <row r="326" spans="1:80" ht="9.75" customHeight="1" x14ac:dyDescent="0.4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</row>
    <row r="327" spans="1:80" ht="9.75" customHeight="1" x14ac:dyDescent="0.4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</row>
    <row r="328" spans="1:80" ht="9.75" customHeight="1" x14ac:dyDescent="0.4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</row>
    <row r="329" spans="1:80" ht="9.75" customHeight="1" x14ac:dyDescent="0.4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</row>
    <row r="330" spans="1:80" ht="9.75" customHeight="1" x14ac:dyDescent="0.4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</row>
    <row r="331" spans="1:80" ht="9.75" customHeight="1" x14ac:dyDescent="0.4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</row>
    <row r="332" spans="1:80" ht="9.75" customHeight="1" x14ac:dyDescent="0.4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</row>
    <row r="333" spans="1:80" ht="9.75" customHeight="1" x14ac:dyDescent="0.4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</row>
    <row r="334" spans="1:80" ht="9.75" customHeight="1" x14ac:dyDescent="0.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</row>
    <row r="335" spans="1:80" ht="9.75" customHeight="1" x14ac:dyDescent="0.4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</row>
    <row r="336" spans="1:80" ht="9.75" customHeight="1" x14ac:dyDescent="0.4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</row>
    <row r="337" spans="1:80" ht="9.75" customHeight="1" x14ac:dyDescent="0.4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</row>
    <row r="338" spans="1:80" ht="9.75" customHeight="1" x14ac:dyDescent="0.4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</row>
    <row r="339" spans="1:80" ht="9.75" customHeight="1" x14ac:dyDescent="0.4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</row>
    <row r="340" spans="1:80" ht="9.75" customHeight="1" x14ac:dyDescent="0.4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</row>
    <row r="341" spans="1:80" ht="9.75" customHeight="1" x14ac:dyDescent="0.4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</row>
    <row r="342" spans="1:80" ht="9.75" customHeight="1" x14ac:dyDescent="0.4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</row>
    <row r="343" spans="1:80" ht="9.75" customHeight="1" x14ac:dyDescent="0.4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</row>
    <row r="344" spans="1:80" ht="9.75" customHeight="1" x14ac:dyDescent="0.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</row>
    <row r="345" spans="1:80" ht="9.75" customHeight="1" x14ac:dyDescent="0.4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</row>
    <row r="346" spans="1:80" ht="9.75" customHeight="1" x14ac:dyDescent="0.4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</row>
    <row r="347" spans="1:80" ht="9.75" customHeight="1" x14ac:dyDescent="0.4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</row>
    <row r="348" spans="1:80" ht="9.75" customHeight="1" x14ac:dyDescent="0.4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</row>
    <row r="349" spans="1:80" ht="9.75" customHeight="1" x14ac:dyDescent="0.4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</row>
    <row r="350" spans="1:80" ht="9.75" customHeight="1" x14ac:dyDescent="0.4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</row>
    <row r="351" spans="1:80" ht="9.75" customHeight="1" x14ac:dyDescent="0.4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</row>
    <row r="352" spans="1:80" ht="9.75" customHeight="1" x14ac:dyDescent="0.4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</row>
    <row r="353" spans="1:80" ht="9.75" customHeight="1" x14ac:dyDescent="0.4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</row>
    <row r="354" spans="1:80" ht="9.75" customHeight="1" x14ac:dyDescent="0.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</row>
    <row r="355" spans="1:80" ht="9.75" customHeight="1" x14ac:dyDescent="0.4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</row>
    <row r="356" spans="1:80" ht="9.75" customHeight="1" x14ac:dyDescent="0.4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</row>
    <row r="357" spans="1:80" ht="9.75" customHeight="1" x14ac:dyDescent="0.4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</row>
    <row r="358" spans="1:80" ht="9.75" customHeight="1" x14ac:dyDescent="0.4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</row>
    <row r="359" spans="1:80" ht="9.75" customHeight="1" x14ac:dyDescent="0.4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</row>
    <row r="360" spans="1:80" ht="9.75" customHeight="1" x14ac:dyDescent="0.4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</row>
    <row r="361" spans="1:80" ht="9.75" customHeight="1" x14ac:dyDescent="0.4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</row>
    <row r="362" spans="1:80" ht="9.75" customHeight="1" x14ac:dyDescent="0.4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</row>
    <row r="363" spans="1:80" ht="9.75" customHeight="1" x14ac:dyDescent="0.4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</row>
    <row r="364" spans="1:80" ht="9.75" customHeight="1" x14ac:dyDescent="0.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</row>
    <row r="365" spans="1:80" ht="9.75" customHeight="1" x14ac:dyDescent="0.4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</row>
    <row r="366" spans="1:80" ht="9.75" customHeight="1" x14ac:dyDescent="0.4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</row>
    <row r="367" spans="1:80" ht="9.75" customHeight="1" x14ac:dyDescent="0.4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</row>
    <row r="368" spans="1:80" ht="9.75" customHeight="1" x14ac:dyDescent="0.4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</row>
    <row r="369" spans="1:80" ht="9.75" customHeight="1" x14ac:dyDescent="0.4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</row>
    <row r="370" spans="1:80" ht="9.75" customHeight="1" x14ac:dyDescent="0.4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</row>
    <row r="371" spans="1:80" ht="9.75" customHeight="1" x14ac:dyDescent="0.4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</row>
    <row r="372" spans="1:80" ht="9.75" customHeight="1" x14ac:dyDescent="0.4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</row>
    <row r="373" spans="1:80" ht="9.75" customHeight="1" x14ac:dyDescent="0.4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</row>
    <row r="374" spans="1:80" ht="9.75" customHeight="1" x14ac:dyDescent="0.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</row>
    <row r="375" spans="1:80" ht="9.75" customHeight="1" x14ac:dyDescent="0.4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</row>
    <row r="376" spans="1:80" ht="9.75" customHeight="1" x14ac:dyDescent="0.4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</row>
    <row r="377" spans="1:80" ht="9.75" customHeight="1" x14ac:dyDescent="0.4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</row>
    <row r="378" spans="1:80" ht="9.75" customHeight="1" x14ac:dyDescent="0.4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</row>
    <row r="379" spans="1:80" ht="9.75" customHeight="1" x14ac:dyDescent="0.4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</row>
    <row r="380" spans="1:80" ht="9.75" customHeight="1" x14ac:dyDescent="0.4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</row>
    <row r="381" spans="1:80" ht="9.75" customHeight="1" x14ac:dyDescent="0.4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</row>
    <row r="382" spans="1:80" ht="9.75" customHeight="1" x14ac:dyDescent="0.4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</row>
    <row r="383" spans="1:80" ht="9.75" customHeight="1" x14ac:dyDescent="0.4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</row>
    <row r="384" spans="1:80" ht="9.75" customHeight="1" x14ac:dyDescent="0.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</row>
    <row r="385" spans="1:80" ht="9.75" customHeight="1" x14ac:dyDescent="0.4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</row>
    <row r="386" spans="1:80" ht="9.75" customHeight="1" x14ac:dyDescent="0.4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</row>
    <row r="387" spans="1:80" ht="9.75" customHeight="1" x14ac:dyDescent="0.4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</row>
    <row r="388" spans="1:80" ht="9.75" customHeight="1" x14ac:dyDescent="0.4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</row>
    <row r="389" spans="1:80" ht="9.75" customHeight="1" x14ac:dyDescent="0.4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</row>
    <row r="390" spans="1:80" ht="9.75" customHeight="1" x14ac:dyDescent="0.4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</row>
    <row r="391" spans="1:80" ht="9.75" customHeight="1" x14ac:dyDescent="0.4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</row>
    <row r="392" spans="1:80" ht="9.75" customHeight="1" x14ac:dyDescent="0.4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</row>
    <row r="393" spans="1:80" ht="9.75" customHeight="1" x14ac:dyDescent="0.4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</row>
    <row r="394" spans="1:80" ht="9.75" customHeight="1" x14ac:dyDescent="0.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</row>
    <row r="395" spans="1:80" ht="9.75" customHeight="1" x14ac:dyDescent="0.4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</row>
    <row r="396" spans="1:80" ht="9.75" customHeight="1" x14ac:dyDescent="0.4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</row>
    <row r="397" spans="1:80" ht="9.75" customHeight="1" x14ac:dyDescent="0.4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</row>
    <row r="398" spans="1:80" ht="9.75" customHeight="1" x14ac:dyDescent="0.4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</row>
    <row r="399" spans="1:80" ht="9.75" customHeight="1" x14ac:dyDescent="0.4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</row>
    <row r="400" spans="1:80" ht="9.75" customHeight="1" x14ac:dyDescent="0.4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</row>
    <row r="401" spans="1:80" ht="9.75" customHeight="1" x14ac:dyDescent="0.4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</row>
    <row r="402" spans="1:80" ht="9.75" customHeight="1" x14ac:dyDescent="0.4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</row>
    <row r="403" spans="1:80" ht="9.75" customHeight="1" x14ac:dyDescent="0.4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</row>
    <row r="404" spans="1:80" ht="9.75" customHeight="1" x14ac:dyDescent="0.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</row>
    <row r="405" spans="1:80" ht="9.75" customHeight="1" x14ac:dyDescent="0.4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</row>
    <row r="406" spans="1:80" ht="9.75" customHeight="1" x14ac:dyDescent="0.4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</row>
    <row r="407" spans="1:80" ht="9.75" customHeight="1" x14ac:dyDescent="0.4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</row>
    <row r="408" spans="1:80" ht="9.75" customHeight="1" x14ac:dyDescent="0.4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</row>
    <row r="409" spans="1:80" ht="9.75" customHeight="1" x14ac:dyDescent="0.4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</row>
    <row r="410" spans="1:80" ht="9.75" customHeight="1" x14ac:dyDescent="0.4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</row>
    <row r="411" spans="1:80" ht="9.75" customHeight="1" x14ac:dyDescent="0.4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</row>
    <row r="412" spans="1:80" ht="9.75" customHeight="1" x14ac:dyDescent="0.4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</row>
    <row r="413" spans="1:80" ht="9.75" customHeight="1" x14ac:dyDescent="0.4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</row>
    <row r="414" spans="1:80" ht="9.75" customHeight="1" x14ac:dyDescent="0.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</row>
    <row r="415" spans="1:80" ht="9.75" customHeight="1" x14ac:dyDescent="0.4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</row>
    <row r="416" spans="1:80" ht="9.75" customHeight="1" x14ac:dyDescent="0.4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</row>
    <row r="417" spans="1:80" ht="9.75" customHeight="1" x14ac:dyDescent="0.4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</row>
    <row r="418" spans="1:80" ht="9.75" customHeight="1" x14ac:dyDescent="0.4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</row>
    <row r="419" spans="1:80" ht="9.75" customHeight="1" x14ac:dyDescent="0.4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</row>
    <row r="420" spans="1:80" ht="9.75" customHeight="1" x14ac:dyDescent="0.4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</row>
    <row r="421" spans="1:80" ht="9.75" customHeight="1" x14ac:dyDescent="0.4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</row>
    <row r="422" spans="1:80" ht="9.75" customHeight="1" x14ac:dyDescent="0.4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</row>
    <row r="423" spans="1:80" ht="9.75" customHeight="1" x14ac:dyDescent="0.4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</row>
    <row r="424" spans="1:80" ht="9.75" customHeight="1" x14ac:dyDescent="0.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</row>
    <row r="425" spans="1:80" ht="9.75" customHeight="1" x14ac:dyDescent="0.4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</row>
    <row r="426" spans="1:80" ht="9.75" customHeight="1" x14ac:dyDescent="0.4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</row>
    <row r="427" spans="1:80" ht="9.75" customHeight="1" x14ac:dyDescent="0.4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</row>
    <row r="428" spans="1:80" ht="9.75" customHeight="1" x14ac:dyDescent="0.4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</row>
    <row r="429" spans="1:80" ht="9.75" customHeight="1" x14ac:dyDescent="0.4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</row>
    <row r="430" spans="1:80" ht="9.75" customHeight="1" x14ac:dyDescent="0.4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</row>
    <row r="431" spans="1:80" ht="9.75" customHeight="1" x14ac:dyDescent="0.4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</row>
    <row r="432" spans="1:80" ht="9.75" customHeight="1" x14ac:dyDescent="0.4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</row>
    <row r="433" spans="1:80" ht="9.75" customHeight="1" x14ac:dyDescent="0.4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</row>
    <row r="434" spans="1:80" ht="9.75" customHeight="1" x14ac:dyDescent="0.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</row>
    <row r="435" spans="1:80" ht="9.75" customHeight="1" x14ac:dyDescent="0.4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</row>
    <row r="436" spans="1:80" ht="9.75" customHeight="1" x14ac:dyDescent="0.4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</row>
    <row r="437" spans="1:80" ht="9.75" customHeight="1" x14ac:dyDescent="0.4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</row>
    <row r="438" spans="1:80" ht="9.75" customHeight="1" x14ac:dyDescent="0.4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</row>
    <row r="439" spans="1:80" ht="9.75" customHeight="1" x14ac:dyDescent="0.4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</row>
    <row r="440" spans="1:80" ht="9.75" customHeight="1" x14ac:dyDescent="0.4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</row>
    <row r="441" spans="1:80" ht="9.75" customHeight="1" x14ac:dyDescent="0.4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</row>
    <row r="442" spans="1:80" ht="9.75" customHeight="1" x14ac:dyDescent="0.4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</row>
    <row r="443" spans="1:80" ht="9.75" customHeight="1" x14ac:dyDescent="0.4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</row>
    <row r="444" spans="1:80" ht="9.75" customHeight="1" x14ac:dyDescent="0.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</row>
    <row r="445" spans="1:80" ht="9.75" customHeight="1" x14ac:dyDescent="0.4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</row>
    <row r="446" spans="1:80" ht="9.75" customHeight="1" x14ac:dyDescent="0.4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</row>
    <row r="447" spans="1:80" ht="9.75" customHeight="1" x14ac:dyDescent="0.4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</row>
    <row r="448" spans="1:80" ht="9.75" customHeight="1" x14ac:dyDescent="0.4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</row>
    <row r="449" spans="1:80" ht="9.75" customHeight="1" x14ac:dyDescent="0.4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</row>
    <row r="450" spans="1:80" ht="9.75" customHeight="1" x14ac:dyDescent="0.4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</row>
    <row r="451" spans="1:80" ht="9.75" customHeight="1" x14ac:dyDescent="0.4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</row>
    <row r="452" spans="1:80" ht="9.75" customHeight="1" x14ac:dyDescent="0.4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</row>
    <row r="453" spans="1:80" ht="9.75" customHeight="1" x14ac:dyDescent="0.4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</row>
    <row r="454" spans="1:80" ht="9.75" customHeight="1" x14ac:dyDescent="0.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</row>
    <row r="455" spans="1:80" ht="9.75" customHeight="1" x14ac:dyDescent="0.4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</row>
    <row r="456" spans="1:80" ht="9.75" customHeight="1" x14ac:dyDescent="0.4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</row>
    <row r="457" spans="1:80" ht="9.75" customHeight="1" x14ac:dyDescent="0.4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</row>
    <row r="458" spans="1:80" ht="9.75" customHeight="1" x14ac:dyDescent="0.4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</row>
    <row r="459" spans="1:80" ht="9.75" customHeight="1" x14ac:dyDescent="0.4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</row>
    <row r="460" spans="1:80" ht="9.75" customHeight="1" x14ac:dyDescent="0.4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</row>
    <row r="461" spans="1:80" ht="9.75" customHeight="1" x14ac:dyDescent="0.4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</row>
    <row r="462" spans="1:80" ht="9.75" customHeight="1" x14ac:dyDescent="0.4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</row>
    <row r="463" spans="1:80" ht="9.75" customHeight="1" x14ac:dyDescent="0.4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</row>
    <row r="464" spans="1:80" ht="9.75" customHeight="1" x14ac:dyDescent="0.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</row>
    <row r="465" spans="1:80" ht="9.75" customHeight="1" x14ac:dyDescent="0.4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</row>
    <row r="466" spans="1:80" ht="9.75" customHeight="1" x14ac:dyDescent="0.4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</row>
    <row r="467" spans="1:80" ht="9.75" customHeight="1" x14ac:dyDescent="0.4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</row>
    <row r="468" spans="1:80" ht="9.75" customHeight="1" x14ac:dyDescent="0.4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</row>
    <row r="469" spans="1:80" ht="9.75" customHeight="1" x14ac:dyDescent="0.4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</row>
    <row r="470" spans="1:80" ht="9.75" customHeight="1" x14ac:dyDescent="0.4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</row>
    <row r="471" spans="1:80" ht="9.75" customHeight="1" x14ac:dyDescent="0.4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</row>
    <row r="472" spans="1:80" ht="9.75" customHeight="1" x14ac:dyDescent="0.4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</row>
    <row r="473" spans="1:80" ht="9.75" customHeight="1" x14ac:dyDescent="0.4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</row>
    <row r="474" spans="1:80" ht="9.75" customHeight="1" x14ac:dyDescent="0.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</row>
    <row r="475" spans="1:80" ht="9.75" customHeight="1" x14ac:dyDescent="0.4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</row>
    <row r="476" spans="1:80" ht="9.75" customHeight="1" x14ac:dyDescent="0.4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</row>
    <row r="477" spans="1:80" ht="9.75" customHeight="1" x14ac:dyDescent="0.4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</row>
    <row r="478" spans="1:80" ht="9.75" customHeight="1" x14ac:dyDescent="0.4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</row>
    <row r="479" spans="1:80" ht="9.75" customHeight="1" x14ac:dyDescent="0.4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</row>
    <row r="480" spans="1:80" ht="9.75" customHeight="1" x14ac:dyDescent="0.4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</row>
    <row r="481" spans="1:80" ht="9.75" customHeight="1" x14ac:dyDescent="0.4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</row>
    <row r="482" spans="1:80" ht="9.75" customHeight="1" x14ac:dyDescent="0.4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</row>
    <row r="483" spans="1:80" ht="9.75" customHeight="1" x14ac:dyDescent="0.4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</row>
    <row r="484" spans="1:80" ht="9.75" customHeight="1" x14ac:dyDescent="0.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</row>
    <row r="485" spans="1:80" ht="9.75" customHeight="1" x14ac:dyDescent="0.4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</row>
    <row r="486" spans="1:80" ht="9.75" customHeight="1" x14ac:dyDescent="0.4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</row>
    <row r="487" spans="1:80" ht="9.75" customHeight="1" x14ac:dyDescent="0.4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</row>
    <row r="488" spans="1:80" ht="9.75" customHeight="1" x14ac:dyDescent="0.4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</row>
    <row r="489" spans="1:80" ht="9.75" customHeight="1" x14ac:dyDescent="0.4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</row>
    <row r="490" spans="1:80" ht="9.75" customHeight="1" x14ac:dyDescent="0.4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</row>
    <row r="491" spans="1:80" ht="9.75" customHeight="1" x14ac:dyDescent="0.4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</row>
    <row r="492" spans="1:80" ht="9.75" customHeight="1" x14ac:dyDescent="0.4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</row>
    <row r="493" spans="1:80" ht="9.75" customHeight="1" x14ac:dyDescent="0.4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</row>
    <row r="494" spans="1:80" ht="9.75" customHeight="1" x14ac:dyDescent="0.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</row>
    <row r="495" spans="1:80" ht="9.75" customHeight="1" x14ac:dyDescent="0.4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</row>
    <row r="496" spans="1:80" ht="9.75" customHeight="1" x14ac:dyDescent="0.4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</row>
    <row r="497" spans="1:80" ht="9.75" customHeight="1" x14ac:dyDescent="0.4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</row>
    <row r="498" spans="1:80" ht="9.75" customHeight="1" x14ac:dyDescent="0.4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</row>
    <row r="499" spans="1:80" ht="9.75" customHeight="1" x14ac:dyDescent="0.4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</row>
    <row r="500" spans="1:80" ht="9.75" customHeight="1" x14ac:dyDescent="0.4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</row>
    <row r="501" spans="1:80" ht="9.75" customHeight="1" x14ac:dyDescent="0.4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</row>
    <row r="502" spans="1:80" ht="9.75" customHeight="1" x14ac:dyDescent="0.4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</row>
    <row r="503" spans="1:80" ht="9.75" customHeight="1" x14ac:dyDescent="0.4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</row>
    <row r="504" spans="1:80" ht="9.75" customHeight="1" x14ac:dyDescent="0.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</row>
    <row r="505" spans="1:80" ht="9.75" customHeight="1" x14ac:dyDescent="0.4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</row>
    <row r="506" spans="1:80" ht="9.75" customHeight="1" x14ac:dyDescent="0.4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</row>
    <row r="507" spans="1:80" ht="9.75" customHeight="1" x14ac:dyDescent="0.4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</row>
    <row r="508" spans="1:80" ht="9.75" customHeight="1" x14ac:dyDescent="0.4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</row>
    <row r="509" spans="1:80" ht="9.75" customHeight="1" x14ac:dyDescent="0.4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</row>
    <row r="510" spans="1:80" ht="9.75" customHeight="1" x14ac:dyDescent="0.4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</row>
    <row r="511" spans="1:80" ht="9.75" customHeight="1" x14ac:dyDescent="0.4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</row>
    <row r="512" spans="1:80" ht="9.75" customHeight="1" x14ac:dyDescent="0.4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</row>
    <row r="513" spans="1:80" ht="9.75" customHeight="1" x14ac:dyDescent="0.4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</row>
    <row r="514" spans="1:80" ht="9.75" customHeight="1" x14ac:dyDescent="0.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</row>
    <row r="515" spans="1:80" ht="9.75" customHeight="1" x14ac:dyDescent="0.4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</row>
    <row r="516" spans="1:80" ht="9.75" customHeight="1" x14ac:dyDescent="0.4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</row>
    <row r="517" spans="1:80" ht="9.75" customHeight="1" x14ac:dyDescent="0.4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</row>
    <row r="518" spans="1:80" ht="9.75" customHeight="1" x14ac:dyDescent="0.4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</row>
    <row r="519" spans="1:80" ht="9.75" customHeight="1" x14ac:dyDescent="0.4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</row>
    <row r="520" spans="1:80" ht="9.75" customHeight="1" x14ac:dyDescent="0.4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</row>
    <row r="521" spans="1:80" ht="9.75" customHeight="1" x14ac:dyDescent="0.4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</row>
    <row r="522" spans="1:80" ht="9.75" customHeight="1" x14ac:dyDescent="0.4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</row>
    <row r="523" spans="1:80" ht="9.75" customHeight="1" x14ac:dyDescent="0.4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</row>
    <row r="524" spans="1:80" ht="9.75" customHeight="1" x14ac:dyDescent="0.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</row>
    <row r="525" spans="1:80" ht="9.75" customHeight="1" x14ac:dyDescent="0.4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</row>
    <row r="526" spans="1:80" ht="9.75" customHeight="1" x14ac:dyDescent="0.4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</row>
    <row r="527" spans="1:80" ht="9.75" customHeight="1" x14ac:dyDescent="0.4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</row>
    <row r="528" spans="1:80" ht="9.75" customHeight="1" x14ac:dyDescent="0.4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</row>
    <row r="529" spans="1:80" ht="9.75" customHeight="1" x14ac:dyDescent="0.4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</row>
    <row r="530" spans="1:80" ht="9.75" customHeight="1" x14ac:dyDescent="0.4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</row>
    <row r="531" spans="1:80" ht="9.75" customHeight="1" x14ac:dyDescent="0.4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</row>
    <row r="532" spans="1:80" ht="9.75" customHeight="1" x14ac:dyDescent="0.4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</row>
    <row r="533" spans="1:80" ht="9.75" customHeight="1" x14ac:dyDescent="0.4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</row>
    <row r="534" spans="1:80" ht="9.75" customHeight="1" x14ac:dyDescent="0.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</row>
    <row r="535" spans="1:80" ht="9.75" customHeight="1" x14ac:dyDescent="0.4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</row>
    <row r="536" spans="1:80" ht="9.75" customHeight="1" x14ac:dyDescent="0.4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</row>
    <row r="537" spans="1:80" ht="9.75" customHeight="1" x14ac:dyDescent="0.4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</row>
    <row r="538" spans="1:80" ht="9.75" customHeight="1" x14ac:dyDescent="0.4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</row>
    <row r="539" spans="1:80" ht="9.75" customHeight="1" x14ac:dyDescent="0.4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</row>
    <row r="540" spans="1:80" ht="9.75" customHeight="1" x14ac:dyDescent="0.4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</row>
    <row r="541" spans="1:80" ht="9.75" customHeight="1" x14ac:dyDescent="0.4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</row>
    <row r="542" spans="1:80" ht="9.75" customHeight="1" x14ac:dyDescent="0.4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</row>
    <row r="543" spans="1:80" ht="9.75" customHeight="1" x14ac:dyDescent="0.4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</row>
    <row r="544" spans="1:80" ht="9.75" customHeight="1" x14ac:dyDescent="0.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</row>
    <row r="545" spans="1:80" ht="9.75" customHeight="1" x14ac:dyDescent="0.4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</row>
    <row r="546" spans="1:80" ht="9.75" customHeight="1" x14ac:dyDescent="0.4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</row>
    <row r="547" spans="1:80" ht="9.75" customHeight="1" x14ac:dyDescent="0.4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</row>
    <row r="548" spans="1:80" ht="9.75" customHeight="1" x14ac:dyDescent="0.4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</row>
    <row r="549" spans="1:80" ht="9.75" customHeight="1" x14ac:dyDescent="0.4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</row>
    <row r="550" spans="1:80" ht="9.75" customHeight="1" x14ac:dyDescent="0.4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</row>
    <row r="551" spans="1:80" ht="9.75" customHeight="1" x14ac:dyDescent="0.4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</row>
    <row r="552" spans="1:80" ht="9.75" customHeight="1" x14ac:dyDescent="0.4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</row>
    <row r="553" spans="1:80" ht="9.75" customHeight="1" x14ac:dyDescent="0.4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</row>
    <row r="554" spans="1:80" ht="9.75" customHeight="1" x14ac:dyDescent="0.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</row>
    <row r="555" spans="1:80" ht="9.75" customHeight="1" x14ac:dyDescent="0.4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</row>
    <row r="556" spans="1:80" ht="9.75" customHeight="1" x14ac:dyDescent="0.4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</row>
    <row r="557" spans="1:80" ht="9.75" customHeight="1" x14ac:dyDescent="0.4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</row>
    <row r="558" spans="1:80" ht="9.75" customHeight="1" x14ac:dyDescent="0.4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</row>
    <row r="559" spans="1:80" ht="9.75" customHeight="1" x14ac:dyDescent="0.4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</row>
    <row r="560" spans="1:80" ht="9.75" customHeight="1" x14ac:dyDescent="0.4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</row>
    <row r="561" spans="1:80" ht="9.75" customHeight="1" x14ac:dyDescent="0.4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</row>
    <row r="562" spans="1:80" ht="9.75" customHeight="1" x14ac:dyDescent="0.4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</row>
    <row r="563" spans="1:80" ht="9.75" customHeight="1" x14ac:dyDescent="0.4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</row>
    <row r="564" spans="1:80" ht="9.75" customHeight="1" x14ac:dyDescent="0.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</row>
    <row r="565" spans="1:80" ht="9.75" customHeight="1" x14ac:dyDescent="0.4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</row>
    <row r="566" spans="1:80" ht="9.75" customHeight="1" x14ac:dyDescent="0.4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</row>
    <row r="567" spans="1:80" ht="9.75" customHeight="1" x14ac:dyDescent="0.4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</row>
    <row r="568" spans="1:80" ht="9.75" customHeight="1" x14ac:dyDescent="0.4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</row>
    <row r="569" spans="1:80" ht="9.75" customHeight="1" x14ac:dyDescent="0.4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</row>
    <row r="570" spans="1:80" ht="9.75" customHeight="1" x14ac:dyDescent="0.4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</row>
    <row r="571" spans="1:80" ht="9.75" customHeight="1" x14ac:dyDescent="0.4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</row>
    <row r="572" spans="1:80" ht="9.75" customHeight="1" x14ac:dyDescent="0.4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</row>
    <row r="573" spans="1:80" ht="9.75" customHeight="1" x14ac:dyDescent="0.4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</row>
    <row r="574" spans="1:80" ht="9.75" customHeight="1" x14ac:dyDescent="0.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</row>
    <row r="575" spans="1:80" ht="9.75" customHeight="1" x14ac:dyDescent="0.4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</row>
    <row r="576" spans="1:80" ht="9.75" customHeight="1" x14ac:dyDescent="0.4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</row>
    <row r="577" spans="1:80" ht="9.75" customHeight="1" x14ac:dyDescent="0.4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</row>
    <row r="578" spans="1:80" ht="9.75" customHeight="1" x14ac:dyDescent="0.4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</row>
    <row r="579" spans="1:80" ht="9.75" customHeight="1" x14ac:dyDescent="0.4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</row>
    <row r="580" spans="1:80" ht="9.75" customHeight="1" x14ac:dyDescent="0.4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</row>
    <row r="581" spans="1:80" ht="9.75" customHeight="1" x14ac:dyDescent="0.4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</row>
    <row r="582" spans="1:80" ht="9.75" customHeight="1" x14ac:dyDescent="0.4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</row>
    <row r="583" spans="1:80" ht="9.75" customHeight="1" x14ac:dyDescent="0.4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</row>
    <row r="584" spans="1:80" ht="9.75" customHeight="1" x14ac:dyDescent="0.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</row>
    <row r="585" spans="1:80" ht="9.75" customHeight="1" x14ac:dyDescent="0.4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</row>
    <row r="586" spans="1:80" ht="9.75" customHeight="1" x14ac:dyDescent="0.4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</row>
    <row r="587" spans="1:80" ht="9.75" customHeight="1" x14ac:dyDescent="0.4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</row>
    <row r="588" spans="1:80" ht="9.75" customHeight="1" x14ac:dyDescent="0.4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</row>
    <row r="589" spans="1:80" ht="9.75" customHeight="1" x14ac:dyDescent="0.4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</row>
    <row r="590" spans="1:80" ht="9.75" customHeight="1" x14ac:dyDescent="0.4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</row>
    <row r="591" spans="1:80" ht="9.75" customHeight="1" x14ac:dyDescent="0.4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</row>
    <row r="592" spans="1:80" ht="9.75" customHeight="1" x14ac:dyDescent="0.4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</row>
    <row r="593" spans="1:80" ht="9.75" customHeight="1" x14ac:dyDescent="0.4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</row>
    <row r="594" spans="1:80" ht="9.75" customHeight="1" x14ac:dyDescent="0.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</row>
    <row r="595" spans="1:80" ht="9.75" customHeight="1" x14ac:dyDescent="0.4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</row>
    <row r="596" spans="1:80" ht="9.75" customHeight="1" x14ac:dyDescent="0.4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</row>
    <row r="597" spans="1:80" ht="9.75" customHeight="1" x14ac:dyDescent="0.4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</row>
    <row r="598" spans="1:80" ht="9.75" customHeight="1" x14ac:dyDescent="0.4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</row>
    <row r="599" spans="1:80" ht="9.75" customHeight="1" x14ac:dyDescent="0.4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</row>
    <row r="600" spans="1:80" ht="9.75" customHeight="1" x14ac:dyDescent="0.4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</row>
    <row r="601" spans="1:80" ht="9.75" customHeight="1" x14ac:dyDescent="0.4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</row>
    <row r="602" spans="1:80" ht="9.75" customHeight="1" x14ac:dyDescent="0.4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</row>
    <row r="603" spans="1:80" ht="9.75" customHeight="1" x14ac:dyDescent="0.4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</row>
    <row r="604" spans="1:80" ht="9.75" customHeight="1" x14ac:dyDescent="0.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</row>
    <row r="605" spans="1:80" ht="9.75" customHeight="1" x14ac:dyDescent="0.4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</row>
    <row r="606" spans="1:80" ht="9.75" customHeight="1" x14ac:dyDescent="0.4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</row>
    <row r="607" spans="1:80" ht="9.75" customHeight="1" x14ac:dyDescent="0.4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</row>
    <row r="608" spans="1:80" ht="9.75" customHeight="1" x14ac:dyDescent="0.4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</row>
    <row r="609" spans="1:80" ht="9.75" customHeight="1" x14ac:dyDescent="0.4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</row>
    <row r="610" spans="1:80" ht="9.75" customHeight="1" x14ac:dyDescent="0.4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1"/>
      <c r="CA610" s="51"/>
      <c r="CB610" s="51"/>
    </row>
    <row r="611" spans="1:80" ht="9.75" customHeight="1" x14ac:dyDescent="0.4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</row>
    <row r="612" spans="1:80" ht="9.75" customHeight="1" x14ac:dyDescent="0.4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51"/>
    </row>
    <row r="613" spans="1:80" ht="9.75" customHeight="1" x14ac:dyDescent="0.4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</row>
    <row r="614" spans="1:80" ht="9.75" customHeight="1" x14ac:dyDescent="0.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</row>
    <row r="615" spans="1:80" ht="9.75" customHeight="1" x14ac:dyDescent="0.4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</row>
    <row r="616" spans="1:80" ht="9.75" customHeight="1" x14ac:dyDescent="0.4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51"/>
    </row>
    <row r="617" spans="1:80" ht="9.75" customHeight="1" x14ac:dyDescent="0.4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</row>
    <row r="618" spans="1:80" ht="9.75" customHeight="1" x14ac:dyDescent="0.4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51"/>
    </row>
    <row r="619" spans="1:80" ht="9.75" customHeight="1" x14ac:dyDescent="0.4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51"/>
    </row>
    <row r="620" spans="1:80" ht="9.75" customHeight="1" x14ac:dyDescent="0.4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51"/>
    </row>
    <row r="621" spans="1:80" ht="9.75" customHeight="1" x14ac:dyDescent="0.4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51"/>
    </row>
    <row r="622" spans="1:80" ht="9.75" customHeight="1" x14ac:dyDescent="0.4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</row>
    <row r="623" spans="1:80" ht="9.75" customHeight="1" x14ac:dyDescent="0.4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51"/>
    </row>
    <row r="624" spans="1:80" ht="9.75" customHeight="1" x14ac:dyDescent="0.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51"/>
    </row>
    <row r="625" spans="1:80" ht="9.75" customHeight="1" x14ac:dyDescent="0.4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51"/>
      <c r="CB625" s="51"/>
    </row>
    <row r="626" spans="1:80" ht="9.75" customHeight="1" x14ac:dyDescent="0.4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1"/>
      <c r="CA626" s="51"/>
      <c r="CB626" s="51"/>
    </row>
    <row r="627" spans="1:80" ht="9.75" customHeight="1" x14ac:dyDescent="0.4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1"/>
      <c r="CA627" s="51"/>
      <c r="CB627" s="51"/>
    </row>
    <row r="628" spans="1:80" ht="9.75" customHeight="1" x14ac:dyDescent="0.4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1"/>
      <c r="CA628" s="51"/>
      <c r="CB628" s="51"/>
    </row>
    <row r="629" spans="1:80" ht="9.75" customHeight="1" x14ac:dyDescent="0.4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1"/>
      <c r="CA629" s="51"/>
      <c r="CB629" s="51"/>
    </row>
    <row r="630" spans="1:80" ht="9.75" customHeight="1" x14ac:dyDescent="0.4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1"/>
      <c r="CA630" s="51"/>
      <c r="CB630" s="51"/>
    </row>
    <row r="631" spans="1:80" ht="9.75" customHeight="1" x14ac:dyDescent="0.4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1"/>
      <c r="CA631" s="51"/>
      <c r="CB631" s="51"/>
    </row>
    <row r="632" spans="1:80" ht="9.75" customHeight="1" x14ac:dyDescent="0.4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</row>
    <row r="633" spans="1:80" ht="9.75" customHeight="1" x14ac:dyDescent="0.4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</row>
    <row r="634" spans="1:80" ht="9.75" customHeight="1" x14ac:dyDescent="0.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1"/>
      <c r="CA634" s="51"/>
      <c r="CB634" s="51"/>
    </row>
    <row r="635" spans="1:80" ht="9.75" customHeight="1" x14ac:dyDescent="0.4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</row>
    <row r="636" spans="1:80" ht="9.75" customHeight="1" x14ac:dyDescent="0.4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1"/>
      <c r="CA636" s="51"/>
      <c r="CB636" s="51"/>
    </row>
    <row r="637" spans="1:80" ht="9.75" customHeight="1" x14ac:dyDescent="0.4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1"/>
      <c r="CA637" s="51"/>
      <c r="CB637" s="51"/>
    </row>
    <row r="638" spans="1:80" ht="9.75" customHeight="1" x14ac:dyDescent="0.4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</row>
    <row r="639" spans="1:80" ht="9.75" customHeight="1" x14ac:dyDescent="0.4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1"/>
      <c r="CA639" s="51"/>
      <c r="CB639" s="51"/>
    </row>
    <row r="640" spans="1:80" ht="9.75" customHeight="1" x14ac:dyDescent="0.4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1"/>
      <c r="CA640" s="51"/>
      <c r="CB640" s="51"/>
    </row>
    <row r="641" spans="1:80" ht="9.75" customHeight="1" x14ac:dyDescent="0.4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</row>
    <row r="642" spans="1:80" ht="9.75" customHeight="1" x14ac:dyDescent="0.4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</row>
    <row r="643" spans="1:80" ht="9.75" customHeight="1" x14ac:dyDescent="0.4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</row>
    <row r="644" spans="1:80" ht="9.75" customHeight="1" x14ac:dyDescent="0.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</row>
    <row r="645" spans="1:80" ht="9.75" customHeight="1" x14ac:dyDescent="0.4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</row>
    <row r="646" spans="1:80" ht="9.75" customHeight="1" x14ac:dyDescent="0.4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</row>
    <row r="647" spans="1:80" ht="9.75" customHeight="1" x14ac:dyDescent="0.4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</row>
    <row r="648" spans="1:80" ht="9.75" customHeight="1" x14ac:dyDescent="0.4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1"/>
      <c r="CA648" s="51"/>
      <c r="CB648" s="51"/>
    </row>
    <row r="649" spans="1:80" ht="9.75" customHeight="1" x14ac:dyDescent="0.4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1"/>
      <c r="CA649" s="51"/>
      <c r="CB649" s="51"/>
    </row>
    <row r="650" spans="1:80" ht="9.75" customHeight="1" x14ac:dyDescent="0.4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</row>
    <row r="651" spans="1:80" ht="9.75" customHeight="1" x14ac:dyDescent="0.4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1"/>
      <c r="CA651" s="51"/>
      <c r="CB651" s="51"/>
    </row>
    <row r="652" spans="1:80" ht="9.75" customHeight="1" x14ac:dyDescent="0.4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1"/>
      <c r="CA652" s="51"/>
      <c r="CB652" s="51"/>
    </row>
    <row r="653" spans="1:80" ht="9.75" customHeight="1" x14ac:dyDescent="0.4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1"/>
      <c r="CA653" s="51"/>
      <c r="CB653" s="51"/>
    </row>
    <row r="654" spans="1:80" ht="9.75" customHeight="1" x14ac:dyDescent="0.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1"/>
      <c r="CA654" s="51"/>
      <c r="CB654" s="51"/>
    </row>
    <row r="655" spans="1:80" ht="9.75" customHeight="1" x14ac:dyDescent="0.4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</row>
    <row r="656" spans="1:80" ht="9.75" customHeight="1" x14ac:dyDescent="0.4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1"/>
      <c r="CA656" s="51"/>
      <c r="CB656" s="51"/>
    </row>
    <row r="657" spans="1:80" ht="9.75" customHeight="1" x14ac:dyDescent="0.4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1"/>
      <c r="CA657" s="51"/>
      <c r="CB657" s="51"/>
    </row>
    <row r="658" spans="1:80" ht="9.75" customHeight="1" x14ac:dyDescent="0.4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1"/>
      <c r="CA658" s="51"/>
      <c r="CB658" s="51"/>
    </row>
    <row r="659" spans="1:80" ht="9.75" customHeight="1" x14ac:dyDescent="0.4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1"/>
      <c r="CA659" s="51"/>
      <c r="CB659" s="51"/>
    </row>
    <row r="660" spans="1:80" ht="9.75" customHeight="1" x14ac:dyDescent="0.4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</row>
    <row r="661" spans="1:80" ht="9.75" customHeight="1" x14ac:dyDescent="0.4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1"/>
      <c r="CA661" s="51"/>
      <c r="CB661" s="51"/>
    </row>
    <row r="662" spans="1:80" ht="9.75" customHeight="1" x14ac:dyDescent="0.4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1"/>
      <c r="CA662" s="51"/>
      <c r="CB662" s="51"/>
    </row>
    <row r="663" spans="1:80" ht="9.75" customHeight="1" x14ac:dyDescent="0.4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1"/>
      <c r="CA663" s="51"/>
      <c r="CB663" s="51"/>
    </row>
    <row r="664" spans="1:80" ht="9.75" customHeight="1" x14ac:dyDescent="0.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1"/>
      <c r="CA664" s="51"/>
      <c r="CB664" s="51"/>
    </row>
    <row r="665" spans="1:80" ht="9.75" customHeight="1" x14ac:dyDescent="0.4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</row>
    <row r="666" spans="1:80" ht="9.75" customHeight="1" x14ac:dyDescent="0.4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</row>
    <row r="667" spans="1:80" ht="9.75" customHeight="1" x14ac:dyDescent="0.4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1"/>
      <c r="CA667" s="51"/>
      <c r="CB667" s="51"/>
    </row>
    <row r="668" spans="1:80" ht="9.75" customHeight="1" x14ac:dyDescent="0.4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</row>
    <row r="669" spans="1:80" ht="9.75" customHeight="1" x14ac:dyDescent="0.4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1"/>
      <c r="CA669" s="51"/>
      <c r="CB669" s="51"/>
    </row>
    <row r="670" spans="1:80" ht="9.75" customHeight="1" x14ac:dyDescent="0.4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1"/>
      <c r="CA670" s="51"/>
      <c r="CB670" s="51"/>
    </row>
    <row r="671" spans="1:80" ht="9.75" customHeight="1" x14ac:dyDescent="0.4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</row>
    <row r="672" spans="1:80" ht="9.75" customHeight="1" x14ac:dyDescent="0.4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1"/>
      <c r="CA672" s="51"/>
      <c r="CB672" s="51"/>
    </row>
    <row r="673" spans="1:80" ht="9.75" customHeight="1" x14ac:dyDescent="0.4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1"/>
      <c r="CA673" s="51"/>
      <c r="CB673" s="51"/>
    </row>
    <row r="674" spans="1:80" ht="9.75" customHeight="1" x14ac:dyDescent="0.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1"/>
      <c r="CA674" s="51"/>
      <c r="CB674" s="51"/>
    </row>
    <row r="675" spans="1:80" ht="9.75" customHeight="1" x14ac:dyDescent="0.4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1"/>
      <c r="CA675" s="51"/>
      <c r="CB675" s="51"/>
    </row>
    <row r="676" spans="1:80" ht="9.75" customHeight="1" x14ac:dyDescent="0.4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1"/>
      <c r="CA676" s="51"/>
      <c r="CB676" s="51"/>
    </row>
    <row r="677" spans="1:80" ht="9.75" customHeight="1" x14ac:dyDescent="0.4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</row>
    <row r="678" spans="1:80" ht="9.75" customHeight="1" x14ac:dyDescent="0.4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1"/>
      <c r="CA678" s="51"/>
      <c r="CB678" s="51"/>
    </row>
    <row r="679" spans="1:80" ht="9.75" customHeight="1" x14ac:dyDescent="0.4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1"/>
      <c r="CA679" s="51"/>
      <c r="CB679" s="51"/>
    </row>
    <row r="680" spans="1:80" ht="9.75" customHeight="1" x14ac:dyDescent="0.4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</row>
    <row r="681" spans="1:80" ht="9.75" customHeight="1" x14ac:dyDescent="0.4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1"/>
      <c r="CA681" s="51"/>
      <c r="CB681" s="51"/>
    </row>
    <row r="682" spans="1:80" ht="9.75" customHeight="1" x14ac:dyDescent="0.4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1"/>
      <c r="CA682" s="51"/>
      <c r="CB682" s="51"/>
    </row>
    <row r="683" spans="1:80" ht="9.75" customHeight="1" x14ac:dyDescent="0.4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</row>
    <row r="684" spans="1:80" ht="9.75" customHeight="1" x14ac:dyDescent="0.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1"/>
      <c r="CA684" s="51"/>
      <c r="CB684" s="51"/>
    </row>
    <row r="685" spans="1:80" ht="9.75" customHeight="1" x14ac:dyDescent="0.4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1"/>
      <c r="CA685" s="51"/>
      <c r="CB685" s="51"/>
    </row>
    <row r="686" spans="1:80" ht="9.75" customHeight="1" x14ac:dyDescent="0.4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</row>
    <row r="687" spans="1:80" ht="9.75" customHeight="1" x14ac:dyDescent="0.4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1"/>
      <c r="CA687" s="51"/>
      <c r="CB687" s="51"/>
    </row>
    <row r="688" spans="1:80" ht="9.75" customHeight="1" x14ac:dyDescent="0.4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</row>
    <row r="689" spans="1:80" ht="9.75" customHeight="1" x14ac:dyDescent="0.4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</row>
    <row r="690" spans="1:80" ht="9.75" customHeight="1" x14ac:dyDescent="0.4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1"/>
      <c r="CA690" s="51"/>
      <c r="CB690" s="51"/>
    </row>
    <row r="691" spans="1:80" ht="9.75" customHeight="1" x14ac:dyDescent="0.4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1"/>
      <c r="CA691" s="51"/>
      <c r="CB691" s="51"/>
    </row>
    <row r="692" spans="1:80" ht="9.75" customHeight="1" x14ac:dyDescent="0.4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</row>
    <row r="693" spans="1:80" ht="9.75" customHeight="1" x14ac:dyDescent="0.4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1"/>
      <c r="CA693" s="51"/>
      <c r="CB693" s="51"/>
    </row>
    <row r="694" spans="1:80" ht="9.75" customHeight="1" x14ac:dyDescent="0.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1"/>
      <c r="CA694" s="51"/>
      <c r="CB694" s="51"/>
    </row>
    <row r="695" spans="1:80" ht="9.75" customHeight="1" x14ac:dyDescent="0.4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</row>
    <row r="696" spans="1:80" ht="9.75" customHeight="1" x14ac:dyDescent="0.4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1"/>
      <c r="CA696" s="51"/>
      <c r="CB696" s="51"/>
    </row>
    <row r="697" spans="1:80" ht="9.75" customHeight="1" x14ac:dyDescent="0.4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1"/>
      <c r="CA697" s="51"/>
      <c r="CB697" s="51"/>
    </row>
    <row r="698" spans="1:80" ht="9.75" customHeight="1" x14ac:dyDescent="0.4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</row>
    <row r="699" spans="1:80" ht="9.75" customHeight="1" x14ac:dyDescent="0.4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</row>
    <row r="700" spans="1:80" ht="9.75" customHeight="1" x14ac:dyDescent="0.4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</row>
    <row r="701" spans="1:80" ht="9.75" customHeight="1" x14ac:dyDescent="0.4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1"/>
      <c r="CA701" s="51"/>
      <c r="CB701" s="51"/>
    </row>
    <row r="702" spans="1:80" ht="9.75" customHeight="1" x14ac:dyDescent="0.4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</row>
    <row r="703" spans="1:80" ht="9.75" customHeight="1" x14ac:dyDescent="0.4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</row>
    <row r="704" spans="1:80" ht="9.75" customHeight="1" x14ac:dyDescent="0.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</row>
    <row r="705" spans="1:80" ht="9.75" customHeight="1" x14ac:dyDescent="0.4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1"/>
      <c r="CA705" s="51"/>
      <c r="CB705" s="51"/>
    </row>
    <row r="706" spans="1:80" ht="9.75" customHeight="1" x14ac:dyDescent="0.4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</row>
    <row r="707" spans="1:80" ht="9.75" customHeight="1" x14ac:dyDescent="0.4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</row>
    <row r="708" spans="1:80" ht="9.75" customHeight="1" x14ac:dyDescent="0.4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1"/>
      <c r="CA708" s="51"/>
      <c r="CB708" s="51"/>
    </row>
    <row r="709" spans="1:80" ht="9.75" customHeight="1" x14ac:dyDescent="0.4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1"/>
      <c r="CA709" s="51"/>
      <c r="CB709" s="51"/>
    </row>
    <row r="710" spans="1:80" ht="9.75" customHeight="1" x14ac:dyDescent="0.4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</row>
    <row r="711" spans="1:80" ht="9.75" customHeight="1" x14ac:dyDescent="0.4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1"/>
      <c r="CA711" s="51"/>
      <c r="CB711" s="51"/>
    </row>
    <row r="712" spans="1:80" ht="9.75" customHeight="1" x14ac:dyDescent="0.4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</row>
    <row r="713" spans="1:80" ht="9.75" customHeight="1" x14ac:dyDescent="0.4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</row>
    <row r="714" spans="1:80" ht="9.75" customHeight="1" x14ac:dyDescent="0.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1"/>
      <c r="CA714" s="51"/>
      <c r="CB714" s="51"/>
    </row>
    <row r="715" spans="1:80" ht="9.75" customHeight="1" x14ac:dyDescent="0.4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1"/>
      <c r="CA715" s="51"/>
      <c r="CB715" s="51"/>
    </row>
    <row r="716" spans="1:80" ht="9.75" customHeight="1" x14ac:dyDescent="0.4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1"/>
      <c r="CA716" s="51"/>
      <c r="CB716" s="51"/>
    </row>
    <row r="717" spans="1:80" ht="9.75" customHeight="1" x14ac:dyDescent="0.4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1"/>
      <c r="CA717" s="51"/>
      <c r="CB717" s="51"/>
    </row>
    <row r="718" spans="1:80" ht="9.75" customHeight="1" x14ac:dyDescent="0.4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1"/>
      <c r="CA718" s="51"/>
      <c r="CB718" s="51"/>
    </row>
    <row r="719" spans="1:80" ht="9.75" customHeight="1" x14ac:dyDescent="0.4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1"/>
      <c r="CA719" s="51"/>
      <c r="CB719" s="51"/>
    </row>
    <row r="720" spans="1:80" ht="9.75" customHeight="1" x14ac:dyDescent="0.4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1"/>
      <c r="CA720" s="51"/>
      <c r="CB720" s="51"/>
    </row>
    <row r="721" spans="1:80" ht="9.75" customHeight="1" x14ac:dyDescent="0.4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</row>
    <row r="722" spans="1:80" ht="9.75" customHeight="1" x14ac:dyDescent="0.4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</row>
    <row r="723" spans="1:80" ht="9.75" customHeight="1" x14ac:dyDescent="0.4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1"/>
      <c r="CA723" s="51"/>
      <c r="CB723" s="51"/>
    </row>
    <row r="724" spans="1:80" ht="9.75" customHeight="1" x14ac:dyDescent="0.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1"/>
      <c r="CA724" s="51"/>
      <c r="CB724" s="51"/>
    </row>
    <row r="725" spans="1:80" ht="9.75" customHeight="1" x14ac:dyDescent="0.4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</row>
    <row r="726" spans="1:80" ht="9.75" customHeight="1" x14ac:dyDescent="0.4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1"/>
      <c r="CA726" s="51"/>
      <c r="CB726" s="51"/>
    </row>
    <row r="727" spans="1:80" ht="9.75" customHeight="1" x14ac:dyDescent="0.4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1"/>
      <c r="CA727" s="51"/>
      <c r="CB727" s="51"/>
    </row>
    <row r="728" spans="1:80" ht="9.75" customHeight="1" x14ac:dyDescent="0.4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1"/>
      <c r="CA728" s="51"/>
      <c r="CB728" s="51"/>
    </row>
    <row r="729" spans="1:80" ht="9.75" customHeight="1" x14ac:dyDescent="0.4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1"/>
      <c r="CA729" s="51"/>
      <c r="CB729" s="51"/>
    </row>
    <row r="730" spans="1:80" ht="9.75" customHeight="1" x14ac:dyDescent="0.4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1"/>
      <c r="CA730" s="51"/>
      <c r="CB730" s="51"/>
    </row>
    <row r="731" spans="1:80" ht="9.75" customHeight="1" x14ac:dyDescent="0.4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1"/>
      <c r="CA731" s="51"/>
      <c r="CB731" s="51"/>
    </row>
    <row r="732" spans="1:80" ht="9.75" customHeight="1" x14ac:dyDescent="0.4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</row>
    <row r="733" spans="1:80" ht="9.75" customHeight="1" x14ac:dyDescent="0.4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1"/>
      <c r="CA733" s="51"/>
      <c r="CB733" s="51"/>
    </row>
    <row r="734" spans="1:80" ht="9.75" customHeight="1" x14ac:dyDescent="0.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1"/>
      <c r="CA734" s="51"/>
      <c r="CB734" s="51"/>
    </row>
    <row r="735" spans="1:80" ht="9.75" customHeight="1" x14ac:dyDescent="0.4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1"/>
      <c r="CA735" s="51"/>
      <c r="CB735" s="51"/>
    </row>
    <row r="736" spans="1:80" ht="9.75" customHeight="1" x14ac:dyDescent="0.4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1"/>
      <c r="CA736" s="51"/>
      <c r="CB736" s="51"/>
    </row>
    <row r="737" spans="1:80" ht="9.75" customHeight="1" x14ac:dyDescent="0.4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</row>
    <row r="738" spans="1:80" ht="9.75" customHeight="1" x14ac:dyDescent="0.4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1"/>
      <c r="CA738" s="51"/>
      <c r="CB738" s="51"/>
    </row>
    <row r="739" spans="1:80" ht="9.75" customHeight="1" x14ac:dyDescent="0.4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1"/>
      <c r="CA739" s="51"/>
      <c r="CB739" s="51"/>
    </row>
    <row r="740" spans="1:80" ht="9.75" customHeight="1" x14ac:dyDescent="0.4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</row>
    <row r="741" spans="1:80" ht="9.75" customHeight="1" x14ac:dyDescent="0.4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1"/>
      <c r="CA741" s="51"/>
      <c r="CB741" s="51"/>
    </row>
    <row r="742" spans="1:80" ht="9.75" customHeight="1" x14ac:dyDescent="0.4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1"/>
      <c r="CA742" s="51"/>
      <c r="CB742" s="51"/>
    </row>
    <row r="743" spans="1:80" ht="9.75" customHeight="1" x14ac:dyDescent="0.4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</row>
    <row r="744" spans="1:80" ht="9.75" customHeight="1" x14ac:dyDescent="0.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1"/>
      <c r="CA744" s="51"/>
      <c r="CB744" s="51"/>
    </row>
    <row r="745" spans="1:80" ht="9.75" customHeight="1" x14ac:dyDescent="0.4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1"/>
      <c r="CA745" s="51"/>
      <c r="CB745" s="51"/>
    </row>
    <row r="746" spans="1:80" ht="9.75" customHeight="1" x14ac:dyDescent="0.4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1"/>
      <c r="CA746" s="51"/>
      <c r="CB746" s="51"/>
    </row>
    <row r="747" spans="1:80" ht="9.75" customHeight="1" x14ac:dyDescent="0.4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1"/>
      <c r="CA747" s="51"/>
      <c r="CB747" s="51"/>
    </row>
    <row r="748" spans="1:80" ht="9.75" customHeight="1" x14ac:dyDescent="0.4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1"/>
      <c r="CA748" s="51"/>
      <c r="CB748" s="51"/>
    </row>
    <row r="749" spans="1:80" ht="9.75" customHeight="1" x14ac:dyDescent="0.4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1"/>
      <c r="CA749" s="51"/>
      <c r="CB749" s="51"/>
    </row>
    <row r="750" spans="1:80" ht="9.75" customHeight="1" x14ac:dyDescent="0.4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1"/>
      <c r="CA750" s="51"/>
      <c r="CB750" s="51"/>
    </row>
    <row r="751" spans="1:80" ht="9.75" customHeight="1" x14ac:dyDescent="0.4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1"/>
      <c r="CA751" s="51"/>
      <c r="CB751" s="51"/>
    </row>
    <row r="752" spans="1:80" ht="9.75" customHeight="1" x14ac:dyDescent="0.4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</row>
    <row r="753" spans="1:80" ht="9.75" customHeight="1" x14ac:dyDescent="0.4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</row>
    <row r="754" spans="1:80" ht="9.75" customHeight="1" x14ac:dyDescent="0.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</row>
    <row r="755" spans="1:80" ht="9.75" customHeight="1" x14ac:dyDescent="0.4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</row>
    <row r="756" spans="1:80" ht="9.75" customHeight="1" x14ac:dyDescent="0.4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1"/>
      <c r="CA756" s="51"/>
      <c r="CB756" s="51"/>
    </row>
    <row r="757" spans="1:80" ht="9.75" customHeight="1" x14ac:dyDescent="0.4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</row>
    <row r="758" spans="1:80" ht="9.75" customHeight="1" x14ac:dyDescent="0.4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</row>
    <row r="759" spans="1:80" ht="9.75" customHeight="1" x14ac:dyDescent="0.4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</row>
    <row r="760" spans="1:80" ht="9.75" customHeight="1" x14ac:dyDescent="0.4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</row>
    <row r="761" spans="1:80" ht="9.75" customHeight="1" x14ac:dyDescent="0.4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</row>
    <row r="762" spans="1:80" ht="9.75" customHeight="1" x14ac:dyDescent="0.4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</row>
    <row r="763" spans="1:80" ht="9.75" customHeight="1" x14ac:dyDescent="0.4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</row>
    <row r="764" spans="1:80" ht="9.75" customHeight="1" x14ac:dyDescent="0.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</row>
    <row r="765" spans="1:80" ht="9.75" customHeight="1" x14ac:dyDescent="0.4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</row>
    <row r="766" spans="1:80" ht="9.75" customHeight="1" x14ac:dyDescent="0.4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</row>
    <row r="767" spans="1:80" ht="9.75" customHeight="1" x14ac:dyDescent="0.4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</row>
    <row r="768" spans="1:80" ht="9.75" customHeight="1" x14ac:dyDescent="0.4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</row>
    <row r="769" spans="1:80" ht="9.75" customHeight="1" x14ac:dyDescent="0.4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</row>
    <row r="770" spans="1:80" ht="9.75" customHeight="1" x14ac:dyDescent="0.4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</row>
    <row r="771" spans="1:80" ht="9.75" customHeight="1" x14ac:dyDescent="0.4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</row>
    <row r="772" spans="1:80" ht="9.75" customHeight="1" x14ac:dyDescent="0.4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</row>
    <row r="773" spans="1:80" ht="9.75" customHeight="1" x14ac:dyDescent="0.4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</row>
    <row r="774" spans="1:80" ht="9.75" customHeight="1" x14ac:dyDescent="0.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</row>
    <row r="775" spans="1:80" ht="9.75" customHeight="1" x14ac:dyDescent="0.4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</row>
    <row r="776" spans="1:80" ht="9.75" customHeight="1" x14ac:dyDescent="0.4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</row>
    <row r="777" spans="1:80" ht="9.75" customHeight="1" x14ac:dyDescent="0.4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</row>
    <row r="778" spans="1:80" ht="9.75" customHeight="1" x14ac:dyDescent="0.4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</row>
    <row r="779" spans="1:80" ht="9.75" customHeight="1" x14ac:dyDescent="0.4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</row>
    <row r="780" spans="1:80" ht="9.75" customHeight="1" x14ac:dyDescent="0.4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</row>
    <row r="781" spans="1:80" ht="9.75" customHeight="1" x14ac:dyDescent="0.4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1"/>
      <c r="CA781" s="51"/>
      <c r="CB781" s="51"/>
    </row>
    <row r="782" spans="1:80" ht="9.75" customHeight="1" x14ac:dyDescent="0.4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</row>
    <row r="783" spans="1:80" ht="9.75" customHeight="1" x14ac:dyDescent="0.4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</row>
    <row r="784" spans="1:80" ht="9.75" customHeight="1" x14ac:dyDescent="0.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</row>
    <row r="785" spans="1:80" ht="9.75" customHeight="1" x14ac:dyDescent="0.4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</row>
    <row r="786" spans="1:80" ht="9.75" customHeight="1" x14ac:dyDescent="0.4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1"/>
      <c r="CA786" s="51"/>
      <c r="CB786" s="51"/>
    </row>
    <row r="787" spans="1:80" ht="9.75" customHeight="1" x14ac:dyDescent="0.4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</row>
    <row r="788" spans="1:80" ht="9.75" customHeight="1" x14ac:dyDescent="0.4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</row>
    <row r="789" spans="1:80" ht="9.75" customHeight="1" x14ac:dyDescent="0.4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</row>
    <row r="790" spans="1:80" ht="9.75" customHeight="1" x14ac:dyDescent="0.4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</row>
    <row r="791" spans="1:80" ht="9.75" customHeight="1" x14ac:dyDescent="0.4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</row>
    <row r="792" spans="1:80" ht="9.75" customHeight="1" x14ac:dyDescent="0.4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</row>
    <row r="793" spans="1:80" ht="9.75" customHeight="1" x14ac:dyDescent="0.4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</row>
    <row r="794" spans="1:80" ht="9.75" customHeight="1" x14ac:dyDescent="0.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</row>
    <row r="795" spans="1:80" ht="9.75" customHeight="1" x14ac:dyDescent="0.4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1"/>
      <c r="CA795" s="51"/>
      <c r="CB795" s="51"/>
    </row>
    <row r="796" spans="1:80" ht="9.75" customHeight="1" x14ac:dyDescent="0.4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</row>
    <row r="797" spans="1:80" ht="9.75" customHeight="1" x14ac:dyDescent="0.4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</row>
    <row r="798" spans="1:80" ht="9.75" customHeight="1" x14ac:dyDescent="0.4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</row>
    <row r="799" spans="1:80" ht="9.75" customHeight="1" x14ac:dyDescent="0.4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</row>
    <row r="800" spans="1:80" ht="9.75" customHeight="1" x14ac:dyDescent="0.4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</row>
    <row r="801" spans="1:80" ht="9.75" customHeight="1" x14ac:dyDescent="0.4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</row>
    <row r="802" spans="1:80" ht="9.75" customHeight="1" x14ac:dyDescent="0.4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</row>
    <row r="803" spans="1:80" ht="9.75" customHeight="1" x14ac:dyDescent="0.4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</row>
    <row r="804" spans="1:80" ht="9.75" customHeight="1" x14ac:dyDescent="0.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</row>
    <row r="805" spans="1:80" ht="9.75" customHeight="1" x14ac:dyDescent="0.4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</row>
    <row r="806" spans="1:80" ht="9.75" customHeight="1" x14ac:dyDescent="0.4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</row>
    <row r="807" spans="1:80" ht="9.75" customHeight="1" x14ac:dyDescent="0.4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</row>
    <row r="808" spans="1:80" ht="9.75" customHeight="1" x14ac:dyDescent="0.4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</row>
    <row r="809" spans="1:80" ht="9.75" customHeight="1" x14ac:dyDescent="0.4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</row>
    <row r="810" spans="1:80" ht="9.75" customHeight="1" x14ac:dyDescent="0.4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</row>
    <row r="811" spans="1:80" ht="9.75" customHeight="1" x14ac:dyDescent="0.4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</row>
    <row r="812" spans="1:80" ht="9.75" customHeight="1" x14ac:dyDescent="0.4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</row>
    <row r="813" spans="1:80" ht="9.75" customHeight="1" x14ac:dyDescent="0.4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</row>
    <row r="814" spans="1:80" ht="9.75" customHeight="1" x14ac:dyDescent="0.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</row>
    <row r="815" spans="1:80" ht="9.75" customHeight="1" x14ac:dyDescent="0.4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</row>
    <row r="816" spans="1:80" ht="9.75" customHeight="1" x14ac:dyDescent="0.4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</row>
    <row r="817" spans="1:80" ht="9.75" customHeight="1" x14ac:dyDescent="0.4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</row>
    <row r="818" spans="1:80" ht="9.75" customHeight="1" x14ac:dyDescent="0.4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</row>
    <row r="819" spans="1:80" ht="9.75" customHeight="1" x14ac:dyDescent="0.4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</row>
    <row r="820" spans="1:80" ht="9.75" customHeight="1" x14ac:dyDescent="0.4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</row>
    <row r="821" spans="1:80" ht="9.75" customHeight="1" x14ac:dyDescent="0.4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</row>
    <row r="822" spans="1:80" ht="9.75" customHeight="1" x14ac:dyDescent="0.4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</row>
    <row r="823" spans="1:80" ht="9.75" customHeight="1" x14ac:dyDescent="0.4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</row>
    <row r="824" spans="1:80" ht="9.75" customHeight="1" x14ac:dyDescent="0.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</row>
    <row r="825" spans="1:80" ht="9.75" customHeight="1" x14ac:dyDescent="0.4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</row>
    <row r="826" spans="1:80" ht="9.75" customHeight="1" x14ac:dyDescent="0.4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</row>
    <row r="827" spans="1:80" ht="9.75" customHeight="1" x14ac:dyDescent="0.4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</row>
    <row r="828" spans="1:80" ht="9.75" customHeight="1" x14ac:dyDescent="0.4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</row>
    <row r="829" spans="1:80" ht="9.75" customHeight="1" x14ac:dyDescent="0.4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</row>
    <row r="830" spans="1:80" ht="9.75" customHeight="1" x14ac:dyDescent="0.4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</row>
    <row r="831" spans="1:80" ht="9.75" customHeight="1" x14ac:dyDescent="0.4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</row>
    <row r="832" spans="1:80" ht="9.75" customHeight="1" x14ac:dyDescent="0.4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</row>
    <row r="833" spans="1:80" ht="9.75" customHeight="1" x14ac:dyDescent="0.4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</row>
    <row r="834" spans="1:80" ht="9.75" customHeight="1" x14ac:dyDescent="0.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</row>
    <row r="835" spans="1:80" ht="9.75" customHeight="1" x14ac:dyDescent="0.4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</row>
    <row r="836" spans="1:80" ht="9.75" customHeight="1" x14ac:dyDescent="0.4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</row>
    <row r="837" spans="1:80" ht="9.75" customHeight="1" x14ac:dyDescent="0.4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1"/>
      <c r="CA837" s="51"/>
      <c r="CB837" s="51"/>
    </row>
    <row r="838" spans="1:80" ht="9.75" customHeight="1" x14ac:dyDescent="0.4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</row>
    <row r="839" spans="1:80" ht="9.75" customHeight="1" x14ac:dyDescent="0.4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</row>
    <row r="840" spans="1:80" ht="9.75" customHeight="1" x14ac:dyDescent="0.4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</row>
    <row r="841" spans="1:80" ht="9.75" customHeight="1" x14ac:dyDescent="0.4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</row>
    <row r="842" spans="1:80" ht="9.75" customHeight="1" x14ac:dyDescent="0.4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</row>
    <row r="843" spans="1:80" ht="9.75" customHeight="1" x14ac:dyDescent="0.4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</row>
    <row r="844" spans="1:80" ht="9.75" customHeight="1" x14ac:dyDescent="0.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</row>
    <row r="845" spans="1:80" ht="9.75" customHeight="1" x14ac:dyDescent="0.4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</row>
    <row r="846" spans="1:80" ht="9.75" customHeight="1" x14ac:dyDescent="0.4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</row>
    <row r="847" spans="1:80" ht="9.75" customHeight="1" x14ac:dyDescent="0.4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</row>
    <row r="848" spans="1:80" ht="9.75" customHeight="1" x14ac:dyDescent="0.4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</row>
    <row r="849" spans="1:80" ht="9.75" customHeight="1" x14ac:dyDescent="0.4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</row>
    <row r="850" spans="1:80" ht="9.75" customHeight="1" x14ac:dyDescent="0.4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</row>
    <row r="851" spans="1:80" ht="9.75" customHeight="1" x14ac:dyDescent="0.4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</row>
    <row r="852" spans="1:80" ht="9.75" customHeight="1" x14ac:dyDescent="0.4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</row>
    <row r="853" spans="1:80" ht="9.75" customHeight="1" x14ac:dyDescent="0.4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</row>
    <row r="854" spans="1:80" ht="9.75" customHeight="1" x14ac:dyDescent="0.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</row>
    <row r="855" spans="1:80" ht="9.75" customHeight="1" x14ac:dyDescent="0.4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</row>
    <row r="856" spans="1:80" ht="9.75" customHeight="1" x14ac:dyDescent="0.4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</row>
    <row r="857" spans="1:80" ht="9.75" customHeight="1" x14ac:dyDescent="0.4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</row>
    <row r="858" spans="1:80" ht="9.75" customHeight="1" x14ac:dyDescent="0.4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</row>
    <row r="859" spans="1:80" ht="9.75" customHeight="1" x14ac:dyDescent="0.4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</row>
    <row r="860" spans="1:80" ht="9.75" customHeight="1" x14ac:dyDescent="0.4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</row>
    <row r="861" spans="1:80" ht="9.75" customHeight="1" x14ac:dyDescent="0.4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</row>
    <row r="862" spans="1:80" ht="9.75" customHeight="1" x14ac:dyDescent="0.4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</row>
    <row r="863" spans="1:80" ht="9.75" customHeight="1" x14ac:dyDescent="0.4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</row>
    <row r="864" spans="1:80" ht="9.75" customHeight="1" x14ac:dyDescent="0.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</row>
    <row r="865" spans="1:80" ht="9.75" customHeight="1" x14ac:dyDescent="0.4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</row>
    <row r="866" spans="1:80" ht="9.75" customHeight="1" x14ac:dyDescent="0.4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</row>
    <row r="867" spans="1:80" ht="9.75" customHeight="1" x14ac:dyDescent="0.4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</row>
    <row r="868" spans="1:80" ht="9.75" customHeight="1" x14ac:dyDescent="0.4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</row>
    <row r="869" spans="1:80" ht="9.75" customHeight="1" x14ac:dyDescent="0.4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</row>
    <row r="870" spans="1:80" ht="9.75" customHeight="1" x14ac:dyDescent="0.4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</row>
    <row r="871" spans="1:80" ht="9.75" customHeight="1" x14ac:dyDescent="0.4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</row>
    <row r="872" spans="1:80" ht="9.75" customHeight="1" x14ac:dyDescent="0.4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</row>
    <row r="873" spans="1:80" ht="9.75" customHeight="1" x14ac:dyDescent="0.4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1"/>
      <c r="CA873" s="51"/>
      <c r="CB873" s="51"/>
    </row>
    <row r="874" spans="1:80" ht="9.75" customHeight="1" x14ac:dyDescent="0.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1"/>
      <c r="CA874" s="51"/>
      <c r="CB874" s="51"/>
    </row>
    <row r="875" spans="1:80" ht="9.75" customHeight="1" x14ac:dyDescent="0.4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</row>
    <row r="876" spans="1:80" ht="9.75" customHeight="1" x14ac:dyDescent="0.4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1"/>
      <c r="CA876" s="51"/>
      <c r="CB876" s="51"/>
    </row>
    <row r="877" spans="1:80" ht="9.75" customHeight="1" x14ac:dyDescent="0.4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1"/>
      <c r="CA877" s="51"/>
      <c r="CB877" s="51"/>
    </row>
    <row r="878" spans="1:80" ht="9.75" customHeight="1" x14ac:dyDescent="0.4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</row>
    <row r="879" spans="1:80" ht="9.75" customHeight="1" x14ac:dyDescent="0.4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1"/>
      <c r="CA879" s="51"/>
      <c r="CB879" s="51"/>
    </row>
    <row r="880" spans="1:80" ht="9.75" customHeight="1" x14ac:dyDescent="0.4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1"/>
      <c r="CA880" s="51"/>
      <c r="CB880" s="51"/>
    </row>
    <row r="881" spans="1:80" ht="9.75" customHeight="1" x14ac:dyDescent="0.4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1"/>
      <c r="CA881" s="51"/>
      <c r="CB881" s="51"/>
    </row>
    <row r="882" spans="1:80" ht="9.75" customHeight="1" x14ac:dyDescent="0.4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1"/>
      <c r="CA882" s="51"/>
      <c r="CB882" s="51"/>
    </row>
    <row r="883" spans="1:80" ht="9.75" customHeight="1" x14ac:dyDescent="0.4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1"/>
      <c r="CA883" s="51"/>
      <c r="CB883" s="51"/>
    </row>
    <row r="884" spans="1:80" ht="9.75" customHeight="1" x14ac:dyDescent="0.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1"/>
      <c r="CA884" s="51"/>
      <c r="CB884" s="51"/>
    </row>
    <row r="885" spans="1:80" ht="9.75" customHeight="1" x14ac:dyDescent="0.4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</row>
    <row r="886" spans="1:80" ht="9.75" customHeight="1" x14ac:dyDescent="0.4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</row>
    <row r="887" spans="1:80" ht="9.75" customHeight="1" x14ac:dyDescent="0.4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</row>
    <row r="888" spans="1:80" ht="9.75" customHeight="1" x14ac:dyDescent="0.4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1"/>
      <c r="CA888" s="51"/>
      <c r="CB888" s="51"/>
    </row>
    <row r="889" spans="1:80" ht="9.75" customHeight="1" x14ac:dyDescent="0.4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1"/>
      <c r="CA889" s="51"/>
      <c r="CB889" s="51"/>
    </row>
    <row r="890" spans="1:80" ht="9.75" customHeight="1" x14ac:dyDescent="0.4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1"/>
      <c r="CA890" s="51"/>
      <c r="CB890" s="51"/>
    </row>
    <row r="891" spans="1:80" ht="9.75" customHeight="1" x14ac:dyDescent="0.4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1"/>
      <c r="CA891" s="51"/>
      <c r="CB891" s="51"/>
    </row>
    <row r="892" spans="1:80" ht="9.75" customHeight="1" x14ac:dyDescent="0.4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1"/>
      <c r="CA892" s="51"/>
      <c r="CB892" s="51"/>
    </row>
    <row r="893" spans="1:80" ht="9.75" customHeight="1" x14ac:dyDescent="0.4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1"/>
      <c r="CA893" s="51"/>
      <c r="CB893" s="51"/>
    </row>
    <row r="894" spans="1:80" ht="9.75" customHeight="1" x14ac:dyDescent="0.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1"/>
      <c r="CA894" s="51"/>
      <c r="CB894" s="51"/>
    </row>
    <row r="895" spans="1:80" ht="9.75" customHeight="1" x14ac:dyDescent="0.4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1"/>
      <c r="CA895" s="51"/>
      <c r="CB895" s="51"/>
    </row>
    <row r="896" spans="1:80" ht="9.75" customHeight="1" x14ac:dyDescent="0.4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</row>
    <row r="897" spans="1:80" ht="9.75" customHeight="1" x14ac:dyDescent="0.4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</row>
    <row r="898" spans="1:80" ht="9.75" customHeight="1" x14ac:dyDescent="0.4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1"/>
      <c r="CA898" s="51"/>
      <c r="CB898" s="51"/>
    </row>
    <row r="899" spans="1:80" ht="9.75" customHeight="1" x14ac:dyDescent="0.4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1"/>
      <c r="CA899" s="51"/>
      <c r="CB899" s="51"/>
    </row>
    <row r="900" spans="1:80" ht="9.75" customHeight="1" x14ac:dyDescent="0.4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1"/>
      <c r="CA900" s="51"/>
      <c r="CB900" s="51"/>
    </row>
    <row r="901" spans="1:80" ht="9.75" customHeight="1" x14ac:dyDescent="0.4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</row>
    <row r="902" spans="1:80" ht="9.75" customHeight="1" x14ac:dyDescent="0.4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1"/>
      <c r="CA902" s="51"/>
      <c r="CB902" s="51"/>
    </row>
    <row r="903" spans="1:80" ht="9.75" customHeight="1" x14ac:dyDescent="0.4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1"/>
      <c r="CA903" s="51"/>
      <c r="CB903" s="51"/>
    </row>
    <row r="904" spans="1:80" ht="9.75" customHeight="1" x14ac:dyDescent="0.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1"/>
      <c r="CA904" s="51"/>
      <c r="CB904" s="51"/>
    </row>
    <row r="905" spans="1:80" ht="9.75" customHeight="1" x14ac:dyDescent="0.4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1"/>
      <c r="CA905" s="51"/>
      <c r="CB905" s="51"/>
    </row>
    <row r="906" spans="1:80" ht="9.75" customHeight="1" x14ac:dyDescent="0.4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1"/>
      <c r="CA906" s="51"/>
      <c r="CB906" s="51"/>
    </row>
    <row r="907" spans="1:80" ht="9.75" customHeight="1" x14ac:dyDescent="0.4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1"/>
      <c r="CA907" s="51"/>
      <c r="CB907" s="51"/>
    </row>
    <row r="908" spans="1:80" ht="9.75" customHeight="1" x14ac:dyDescent="0.4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</row>
    <row r="909" spans="1:80" ht="9.75" customHeight="1" x14ac:dyDescent="0.4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1"/>
      <c r="CA909" s="51"/>
      <c r="CB909" s="51"/>
    </row>
    <row r="910" spans="1:80" ht="9.75" customHeight="1" x14ac:dyDescent="0.4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1"/>
      <c r="CA910" s="51"/>
      <c r="CB910" s="51"/>
    </row>
    <row r="911" spans="1:80" ht="9.75" customHeight="1" x14ac:dyDescent="0.4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1"/>
      <c r="CA911" s="51"/>
      <c r="CB911" s="51"/>
    </row>
    <row r="912" spans="1:80" ht="9.75" customHeight="1" x14ac:dyDescent="0.4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1"/>
      <c r="CA912" s="51"/>
      <c r="CB912" s="51"/>
    </row>
    <row r="913" spans="1:80" ht="9.75" customHeight="1" x14ac:dyDescent="0.4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1"/>
      <c r="CA913" s="51"/>
      <c r="CB913" s="51"/>
    </row>
    <row r="914" spans="1:80" ht="9.75" customHeight="1" x14ac:dyDescent="0.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</row>
    <row r="915" spans="1:80" ht="9.75" customHeight="1" x14ac:dyDescent="0.4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1"/>
      <c r="CA915" s="51"/>
      <c r="CB915" s="51"/>
    </row>
    <row r="916" spans="1:80" ht="9.75" customHeight="1" x14ac:dyDescent="0.4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1"/>
      <c r="CA916" s="51"/>
      <c r="CB916" s="51"/>
    </row>
    <row r="917" spans="1:80" ht="9.75" customHeight="1" x14ac:dyDescent="0.4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</row>
    <row r="918" spans="1:80" ht="9.75" customHeight="1" x14ac:dyDescent="0.4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1"/>
      <c r="CA918" s="51"/>
      <c r="CB918" s="51"/>
    </row>
    <row r="919" spans="1:80" ht="9.75" customHeight="1" x14ac:dyDescent="0.4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</row>
    <row r="920" spans="1:80" ht="9.75" customHeight="1" x14ac:dyDescent="0.4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</row>
    <row r="921" spans="1:80" ht="9.75" customHeight="1" x14ac:dyDescent="0.4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1"/>
      <c r="CA921" s="51"/>
      <c r="CB921" s="51"/>
    </row>
    <row r="922" spans="1:80" ht="9.75" customHeight="1" x14ac:dyDescent="0.4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1"/>
      <c r="CA922" s="51"/>
      <c r="CB922" s="51"/>
    </row>
    <row r="923" spans="1:80" ht="9.75" customHeight="1" x14ac:dyDescent="0.4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</row>
    <row r="924" spans="1:80" ht="9.75" customHeight="1" x14ac:dyDescent="0.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1"/>
      <c r="CA924" s="51"/>
      <c r="CB924" s="51"/>
    </row>
    <row r="925" spans="1:80" ht="9.75" customHeight="1" x14ac:dyDescent="0.4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</row>
    <row r="926" spans="1:80" ht="9.75" customHeight="1" x14ac:dyDescent="0.4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</row>
    <row r="927" spans="1:80" ht="9.75" customHeight="1" x14ac:dyDescent="0.4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1"/>
      <c r="CA927" s="51"/>
      <c r="CB927" s="51"/>
    </row>
    <row r="928" spans="1:80" ht="9.75" customHeight="1" x14ac:dyDescent="0.4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1"/>
      <c r="CA928" s="51"/>
      <c r="CB928" s="51"/>
    </row>
    <row r="929" spans="1:80" ht="9.75" customHeight="1" x14ac:dyDescent="0.4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1"/>
      <c r="CA929" s="51"/>
      <c r="CB929" s="51"/>
    </row>
    <row r="930" spans="1:80" ht="9.75" customHeight="1" x14ac:dyDescent="0.4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</row>
    <row r="931" spans="1:80" ht="9.75" customHeight="1" x14ac:dyDescent="0.4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1"/>
      <c r="CA931" s="51"/>
      <c r="CB931" s="51"/>
    </row>
    <row r="932" spans="1:80" ht="9.75" customHeight="1" x14ac:dyDescent="0.4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</row>
    <row r="933" spans="1:80" ht="9.75" customHeight="1" x14ac:dyDescent="0.4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1"/>
      <c r="CA933" s="51"/>
      <c r="CB933" s="51"/>
    </row>
    <row r="934" spans="1:80" ht="9.75" customHeight="1" x14ac:dyDescent="0.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1"/>
      <c r="CA934" s="51"/>
      <c r="CB934" s="51"/>
    </row>
    <row r="935" spans="1:80" ht="9.75" customHeight="1" x14ac:dyDescent="0.4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1"/>
      <c r="CA935" s="51"/>
      <c r="CB935" s="51"/>
    </row>
    <row r="936" spans="1:80" ht="9.75" customHeight="1" x14ac:dyDescent="0.4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</row>
    <row r="937" spans="1:80" ht="9.75" customHeight="1" x14ac:dyDescent="0.4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1"/>
      <c r="CA937" s="51"/>
      <c r="CB937" s="51"/>
    </row>
    <row r="938" spans="1:80" ht="9.75" customHeight="1" x14ac:dyDescent="0.4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</row>
    <row r="939" spans="1:80" ht="9.75" customHeight="1" x14ac:dyDescent="0.4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1"/>
      <c r="CA939" s="51"/>
      <c r="CB939" s="51"/>
    </row>
    <row r="940" spans="1:80" ht="9.75" customHeight="1" x14ac:dyDescent="0.4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1"/>
      <c r="CA940" s="51"/>
      <c r="CB940" s="51"/>
    </row>
    <row r="941" spans="1:80" ht="9.75" customHeight="1" x14ac:dyDescent="0.4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</row>
    <row r="942" spans="1:80" ht="9.75" customHeight="1" x14ac:dyDescent="0.4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1"/>
      <c r="CA942" s="51"/>
      <c r="CB942" s="51"/>
    </row>
    <row r="943" spans="1:80" ht="9.75" customHeight="1" x14ac:dyDescent="0.4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1"/>
      <c r="CA943" s="51"/>
      <c r="CB943" s="51"/>
    </row>
    <row r="944" spans="1:80" ht="9.75" customHeight="1" x14ac:dyDescent="0.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1"/>
      <c r="CA944" s="51"/>
      <c r="CB944" s="51"/>
    </row>
    <row r="945" spans="1:80" ht="9.75" customHeight="1" x14ac:dyDescent="0.4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1"/>
      <c r="CA945" s="51"/>
      <c r="CB945" s="51"/>
    </row>
    <row r="946" spans="1:80" ht="9.75" customHeight="1" x14ac:dyDescent="0.4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1"/>
      <c r="CA946" s="51"/>
      <c r="CB946" s="51"/>
    </row>
    <row r="947" spans="1:80" ht="9.75" customHeight="1" x14ac:dyDescent="0.4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</row>
    <row r="948" spans="1:80" ht="9.75" customHeight="1" x14ac:dyDescent="0.4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</row>
    <row r="949" spans="1:80" ht="9.75" customHeight="1" x14ac:dyDescent="0.4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1"/>
      <c r="CA949" s="51"/>
      <c r="CB949" s="51"/>
    </row>
    <row r="950" spans="1:80" ht="9.75" customHeight="1" x14ac:dyDescent="0.4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1"/>
      <c r="CA950" s="51"/>
      <c r="CB950" s="51"/>
    </row>
    <row r="951" spans="1:80" ht="9.75" customHeight="1" x14ac:dyDescent="0.4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1"/>
      <c r="CA951" s="51"/>
      <c r="CB951" s="51"/>
    </row>
    <row r="952" spans="1:80" ht="9.75" customHeight="1" x14ac:dyDescent="0.4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1"/>
      <c r="CA952" s="51"/>
      <c r="CB952" s="51"/>
    </row>
    <row r="953" spans="1:80" ht="9.75" customHeight="1" x14ac:dyDescent="0.4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1"/>
      <c r="CA953" s="51"/>
      <c r="CB953" s="51"/>
    </row>
    <row r="954" spans="1:80" ht="9.75" customHeight="1" x14ac:dyDescent="0.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51"/>
      <c r="BX954" s="51"/>
      <c r="BY954" s="51"/>
      <c r="BZ954" s="51"/>
      <c r="CA954" s="51"/>
      <c r="CB954" s="51"/>
    </row>
    <row r="955" spans="1:80" ht="9.75" customHeight="1" x14ac:dyDescent="0.4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51"/>
      <c r="BX955" s="51"/>
      <c r="BY955" s="51"/>
      <c r="BZ955" s="51"/>
      <c r="CA955" s="51"/>
      <c r="CB955" s="51"/>
    </row>
    <row r="956" spans="1:80" ht="9.75" customHeight="1" x14ac:dyDescent="0.4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1"/>
      <c r="CA956" s="51"/>
      <c r="CB956" s="51"/>
    </row>
    <row r="957" spans="1:80" ht="9.75" customHeight="1" x14ac:dyDescent="0.4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51"/>
      <c r="BX957" s="51"/>
      <c r="BY957" s="51"/>
      <c r="BZ957" s="51"/>
      <c r="CA957" s="51"/>
      <c r="CB957" s="51"/>
    </row>
    <row r="958" spans="1:80" ht="9.75" customHeight="1" x14ac:dyDescent="0.4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51"/>
      <c r="BX958" s="51"/>
      <c r="BY958" s="51"/>
      <c r="BZ958" s="51"/>
      <c r="CA958" s="51"/>
      <c r="CB958" s="51"/>
    </row>
    <row r="959" spans="1:80" ht="9.75" customHeight="1" x14ac:dyDescent="0.4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1"/>
      <c r="CA959" s="51"/>
      <c r="CB959" s="51"/>
    </row>
    <row r="960" spans="1:80" ht="9.75" customHeight="1" x14ac:dyDescent="0.4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51"/>
      <c r="BX960" s="51"/>
      <c r="BY960" s="51"/>
      <c r="BZ960" s="51"/>
      <c r="CA960" s="51"/>
      <c r="CB960" s="51"/>
    </row>
    <row r="961" spans="1:80" ht="9.75" customHeight="1" x14ac:dyDescent="0.4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51"/>
      <c r="BX961" s="51"/>
      <c r="BY961" s="51"/>
      <c r="BZ961" s="51"/>
      <c r="CA961" s="51"/>
      <c r="CB961" s="51"/>
    </row>
    <row r="962" spans="1:80" ht="9.75" customHeight="1" x14ac:dyDescent="0.4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1"/>
      <c r="CA962" s="51"/>
      <c r="CB962" s="51"/>
    </row>
    <row r="963" spans="1:80" ht="9.75" customHeight="1" x14ac:dyDescent="0.4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1"/>
      <c r="CA963" s="51"/>
      <c r="CB963" s="51"/>
    </row>
    <row r="964" spans="1:80" ht="9.75" customHeight="1" x14ac:dyDescent="0.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51"/>
      <c r="BX964" s="51"/>
      <c r="BY964" s="51"/>
      <c r="BZ964" s="51"/>
      <c r="CA964" s="51"/>
      <c r="CB964" s="51"/>
    </row>
    <row r="965" spans="1:80" ht="9.75" customHeight="1" x14ac:dyDescent="0.4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1"/>
      <c r="CA965" s="51"/>
      <c r="CB965" s="51"/>
    </row>
    <row r="966" spans="1:80" ht="9.75" customHeight="1" x14ac:dyDescent="0.4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51"/>
      <c r="BX966" s="51"/>
      <c r="BY966" s="51"/>
      <c r="BZ966" s="51"/>
      <c r="CA966" s="51"/>
      <c r="CB966" s="51"/>
    </row>
    <row r="967" spans="1:80" ht="9.75" customHeight="1" x14ac:dyDescent="0.4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51"/>
      <c r="BX967" s="51"/>
      <c r="BY967" s="51"/>
      <c r="BZ967" s="51"/>
      <c r="CA967" s="51"/>
      <c r="CB967" s="51"/>
    </row>
    <row r="968" spans="1:80" ht="9.75" customHeight="1" x14ac:dyDescent="0.4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</row>
    <row r="969" spans="1:80" ht="9.75" customHeight="1" x14ac:dyDescent="0.4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51"/>
      <c r="BX969" s="51"/>
      <c r="BY969" s="51"/>
      <c r="BZ969" s="51"/>
      <c r="CA969" s="51"/>
      <c r="CB969" s="51"/>
    </row>
    <row r="970" spans="1:80" ht="9.75" customHeight="1" x14ac:dyDescent="0.4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51"/>
      <c r="BX970" s="51"/>
      <c r="BY970" s="51"/>
      <c r="BZ970" s="51"/>
      <c r="CA970" s="51"/>
      <c r="CB970" s="51"/>
    </row>
    <row r="971" spans="1:80" ht="9.75" customHeight="1" x14ac:dyDescent="0.4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1"/>
      <c r="CA971" s="51"/>
      <c r="CB971" s="51"/>
    </row>
    <row r="972" spans="1:80" ht="9.75" customHeight="1" x14ac:dyDescent="0.4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51"/>
      <c r="BX972" s="51"/>
      <c r="BY972" s="51"/>
      <c r="BZ972" s="51"/>
      <c r="CA972" s="51"/>
      <c r="CB972" s="51"/>
    </row>
    <row r="973" spans="1:80" ht="9.75" customHeight="1" x14ac:dyDescent="0.4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51"/>
      <c r="BX973" s="51"/>
      <c r="BY973" s="51"/>
      <c r="BZ973" s="51"/>
      <c r="CA973" s="51"/>
      <c r="CB973" s="51"/>
    </row>
    <row r="974" spans="1:80" ht="9.75" customHeight="1" x14ac:dyDescent="0.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1"/>
      <c r="CA974" s="51"/>
      <c r="CB974" s="51"/>
    </row>
    <row r="975" spans="1:80" ht="9.75" customHeight="1" x14ac:dyDescent="0.4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51"/>
      <c r="BX975" s="51"/>
      <c r="BY975" s="51"/>
      <c r="BZ975" s="51"/>
      <c r="CA975" s="51"/>
      <c r="CB975" s="51"/>
    </row>
    <row r="976" spans="1:80" ht="9.75" customHeight="1" x14ac:dyDescent="0.4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51"/>
      <c r="BX976" s="51"/>
      <c r="BY976" s="51"/>
      <c r="BZ976" s="51"/>
      <c r="CA976" s="51"/>
      <c r="CB976" s="51"/>
    </row>
    <row r="977" spans="1:80" ht="9.75" customHeight="1" x14ac:dyDescent="0.4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51"/>
      <c r="BX977" s="51"/>
      <c r="BY977" s="51"/>
      <c r="BZ977" s="51"/>
      <c r="CA977" s="51"/>
      <c r="CB977" s="51"/>
    </row>
    <row r="978" spans="1:80" ht="9.75" customHeight="1" x14ac:dyDescent="0.4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51"/>
      <c r="BX978" s="51"/>
      <c r="BY978" s="51"/>
      <c r="BZ978" s="51"/>
      <c r="CA978" s="51"/>
      <c r="CB978" s="51"/>
    </row>
    <row r="979" spans="1:80" ht="9.75" customHeight="1" x14ac:dyDescent="0.4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51"/>
      <c r="BX979" s="51"/>
      <c r="BY979" s="51"/>
      <c r="BZ979" s="51"/>
      <c r="CA979" s="51"/>
      <c r="CB979" s="51"/>
    </row>
    <row r="980" spans="1:80" ht="9.75" customHeight="1" x14ac:dyDescent="0.4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1"/>
      <c r="CA980" s="51"/>
      <c r="CB980" s="51"/>
    </row>
    <row r="981" spans="1:80" ht="9.75" customHeight="1" x14ac:dyDescent="0.4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51"/>
      <c r="BX981" s="51"/>
      <c r="BY981" s="51"/>
      <c r="BZ981" s="51"/>
      <c r="CA981" s="51"/>
      <c r="CB981" s="51"/>
    </row>
    <row r="982" spans="1:80" ht="9.75" customHeight="1" x14ac:dyDescent="0.4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51"/>
      <c r="BX982" s="51"/>
      <c r="BY982" s="51"/>
      <c r="BZ982" s="51"/>
      <c r="CA982" s="51"/>
      <c r="CB982" s="51"/>
    </row>
    <row r="983" spans="1:80" ht="9.75" customHeight="1" x14ac:dyDescent="0.4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1"/>
      <c r="CA983" s="51"/>
      <c r="CB983" s="51"/>
    </row>
    <row r="984" spans="1:80" ht="9.75" customHeight="1" x14ac:dyDescent="0.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51"/>
      <c r="BX984" s="51"/>
      <c r="BY984" s="51"/>
      <c r="BZ984" s="51"/>
      <c r="CA984" s="51"/>
      <c r="CB984" s="51"/>
    </row>
    <row r="985" spans="1:80" ht="9.75" customHeight="1" x14ac:dyDescent="0.4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</row>
    <row r="986" spans="1:80" ht="9.75" customHeight="1" x14ac:dyDescent="0.4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51"/>
      <c r="BX986" s="51"/>
      <c r="BY986" s="51"/>
      <c r="BZ986" s="51"/>
      <c r="CA986" s="51"/>
      <c r="CB986" s="51"/>
    </row>
    <row r="987" spans="1:80" ht="9.75" customHeight="1" x14ac:dyDescent="0.4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1"/>
      <c r="CA987" s="51"/>
      <c r="CB987" s="51"/>
    </row>
    <row r="988" spans="1:80" ht="9.75" customHeight="1" x14ac:dyDescent="0.4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51"/>
      <c r="BX988" s="51"/>
      <c r="BY988" s="51"/>
      <c r="BZ988" s="51"/>
      <c r="CA988" s="51"/>
      <c r="CB988" s="51"/>
    </row>
    <row r="989" spans="1:80" ht="9.75" customHeight="1" x14ac:dyDescent="0.4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51"/>
      <c r="BX989" s="51"/>
      <c r="BY989" s="51"/>
      <c r="BZ989" s="51"/>
      <c r="CA989" s="51"/>
      <c r="CB989" s="51"/>
    </row>
    <row r="990" spans="1:80" ht="9.75" customHeight="1" x14ac:dyDescent="0.4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51"/>
      <c r="BX990" s="51"/>
      <c r="BY990" s="51"/>
      <c r="BZ990" s="51"/>
      <c r="CA990" s="51"/>
      <c r="CB990" s="51"/>
    </row>
    <row r="991" spans="1:80" ht="9.75" customHeight="1" x14ac:dyDescent="0.4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51"/>
      <c r="BX991" s="51"/>
      <c r="BY991" s="51"/>
      <c r="BZ991" s="51"/>
      <c r="CA991" s="51"/>
      <c r="CB991" s="51"/>
    </row>
    <row r="992" spans="1:80" ht="9.75" customHeight="1" x14ac:dyDescent="0.4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51"/>
      <c r="BX992" s="51"/>
      <c r="BY992" s="51"/>
      <c r="BZ992" s="51"/>
      <c r="CA992" s="51"/>
      <c r="CB992" s="51"/>
    </row>
    <row r="993" spans="1:80" ht="9.75" customHeight="1" x14ac:dyDescent="0.4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51"/>
      <c r="BX993" s="51"/>
      <c r="BY993" s="51"/>
      <c r="BZ993" s="51"/>
      <c r="CA993" s="51"/>
      <c r="CB993" s="51"/>
    </row>
    <row r="994" spans="1:80" ht="9.75" customHeight="1" x14ac:dyDescent="0.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51"/>
      <c r="BX994" s="51"/>
      <c r="BY994" s="51"/>
      <c r="BZ994" s="51"/>
      <c r="CA994" s="51"/>
      <c r="CB994" s="51"/>
    </row>
    <row r="995" spans="1:80" ht="9.75" customHeight="1" x14ac:dyDescent="0.4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51"/>
      <c r="BX995" s="51"/>
      <c r="BY995" s="51"/>
      <c r="BZ995" s="51"/>
      <c r="CA995" s="51"/>
      <c r="CB995" s="51"/>
    </row>
    <row r="996" spans="1:80" ht="9.75" customHeight="1" x14ac:dyDescent="0.4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1"/>
      <c r="CA996" s="51"/>
      <c r="CB996" s="51"/>
    </row>
    <row r="997" spans="1:80" ht="9.75" customHeight="1" x14ac:dyDescent="0.4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51"/>
      <c r="BX997" s="51"/>
      <c r="BY997" s="51"/>
      <c r="BZ997" s="51"/>
      <c r="CA997" s="51"/>
      <c r="CB997" s="51"/>
    </row>
    <row r="998" spans="1:80" ht="9.75" customHeight="1" x14ac:dyDescent="0.4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1"/>
      <c r="CA998" s="51"/>
      <c r="CB998" s="51"/>
    </row>
    <row r="999" spans="1:80" ht="9.75" customHeight="1" x14ac:dyDescent="0.4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51"/>
      <c r="BX999" s="51"/>
      <c r="BY999" s="51"/>
      <c r="BZ999" s="51"/>
      <c r="CA999" s="51"/>
      <c r="CB999" s="51"/>
    </row>
    <row r="1000" spans="1:80" ht="9.75" customHeight="1" x14ac:dyDescent="0.4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51"/>
      <c r="BX1000" s="51"/>
      <c r="BY1000" s="51"/>
      <c r="BZ1000" s="51"/>
      <c r="CA1000" s="51"/>
      <c r="CB1000" s="51"/>
    </row>
  </sheetData>
  <mergeCells count="12">
    <mergeCell ref="C28:AN46"/>
    <mergeCell ref="AQ28:CB46"/>
    <mergeCell ref="W2:AL3"/>
    <mergeCell ref="W4:AL7"/>
    <mergeCell ref="AO2:BD3"/>
    <mergeCell ref="AO4:BD7"/>
    <mergeCell ref="BG2:CB3"/>
    <mergeCell ref="BG4:CB7"/>
    <mergeCell ref="C9:CB10"/>
    <mergeCell ref="C11:CB24"/>
    <mergeCell ref="C26:AN27"/>
    <mergeCell ref="AQ26:CB2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0B21-B994-41DD-BEC6-B8D0834CB666}">
  <dimension ref="A1:H4"/>
  <sheetViews>
    <sheetView zoomScaleNormal="100" workbookViewId="0">
      <selection activeCell="B3" sqref="B3"/>
    </sheetView>
  </sheetViews>
  <sheetFormatPr defaultRowHeight="14.4" x14ac:dyDescent="0.3"/>
  <cols>
    <col min="2" max="4" width="21.33203125" customWidth="1"/>
    <col min="5" max="5" width="6" customWidth="1"/>
    <col min="6" max="8" width="21.33203125" customWidth="1"/>
  </cols>
  <sheetData>
    <row r="1" spans="1:8" s="23" customFormat="1" ht="48" customHeight="1" thickBot="1" x14ac:dyDescent="0.6">
      <c r="A1" s="120" t="s">
        <v>36</v>
      </c>
      <c r="B1" s="120"/>
      <c r="C1" s="120"/>
      <c r="D1" s="120"/>
      <c r="E1" s="120"/>
      <c r="F1" s="120"/>
      <c r="G1" s="120"/>
      <c r="H1" s="120"/>
    </row>
    <row r="2" spans="1:8" ht="33.75" customHeight="1" thickBot="1" x14ac:dyDescent="0.35">
      <c r="B2" s="121" t="s">
        <v>39</v>
      </c>
      <c r="C2" s="122"/>
      <c r="D2" s="123"/>
      <c r="F2" s="121" t="s">
        <v>22</v>
      </c>
      <c r="G2" s="122"/>
      <c r="H2" s="123"/>
    </row>
    <row r="3" spans="1:8" ht="63.75" customHeight="1" x14ac:dyDescent="0.3">
      <c r="B3" s="25" t="s">
        <v>37</v>
      </c>
      <c r="C3" s="25" t="s">
        <v>38</v>
      </c>
      <c r="D3" s="25" t="s">
        <v>40</v>
      </c>
      <c r="F3" s="25" t="s">
        <v>37</v>
      </c>
      <c r="G3" s="25" t="s">
        <v>38</v>
      </c>
      <c r="H3" s="25" t="s">
        <v>40</v>
      </c>
    </row>
    <row r="4" spans="1:8" ht="63.75" customHeight="1" thickBot="1" x14ac:dyDescent="0.35">
      <c r="B4" s="24" t="e">
        <f>COUNTIF(#REF!,"&gt;0")</f>
        <v>#REF!</v>
      </c>
      <c r="C4" s="24" t="e">
        <f>SUM(#REF!)</f>
        <v>#REF!</v>
      </c>
      <c r="D4" s="26" t="e">
        <f>AVERAGE(#REF!)</f>
        <v>#REF!</v>
      </c>
      <c r="F4" s="24" t="e">
        <f>COUNTIF(#REF!,F2)</f>
        <v>#REF!</v>
      </c>
      <c r="G4" s="24" t="e">
        <f>SUMIF(#REF!,F2,#REF!)</f>
        <v>#REF!</v>
      </c>
      <c r="H4" s="26" t="e">
        <f>AVERAGEIF(#REF!,F2,#REF!)</f>
        <v>#REF!</v>
      </c>
    </row>
  </sheetData>
  <mergeCells count="3">
    <mergeCell ref="A1:H1"/>
    <mergeCell ref="B2:D2"/>
    <mergeCell ref="F2:H2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D791AE7F-0548-408E-B71E-49EE28A02E4F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4.4" x14ac:dyDescent="0.3"/>
  <cols>
    <col min="2" max="2" width="19.44140625" bestFit="1" customWidth="1"/>
    <col min="3" max="3" width="11.5546875" bestFit="1" customWidth="1"/>
    <col min="4" max="4" width="12.109375" bestFit="1" customWidth="1"/>
    <col min="5" max="5" width="17.88671875" bestFit="1" customWidth="1"/>
    <col min="6" max="6" width="22.33203125" bestFit="1" customWidth="1"/>
    <col min="7" max="7" width="5.5546875" bestFit="1" customWidth="1"/>
    <col min="8" max="8" width="13.6640625" bestFit="1" customWidth="1"/>
  </cols>
  <sheetData>
    <row r="2" spans="2:8" ht="18" x14ac:dyDescent="0.35">
      <c r="B2" s="22" t="s">
        <v>1</v>
      </c>
      <c r="C2" s="22" t="s">
        <v>16</v>
      </c>
    </row>
    <row r="3" spans="2:8" x14ac:dyDescent="0.3">
      <c r="B3" s="4" t="s">
        <v>4</v>
      </c>
      <c r="C3" s="4" t="s">
        <v>35</v>
      </c>
    </row>
    <row r="5" spans="2:8" ht="15" thickBot="1" x14ac:dyDescent="0.35"/>
    <row r="6" spans="2:8" ht="18.600000000000001" thickBot="1" x14ac:dyDescent="0.4">
      <c r="B6" s="12" t="s">
        <v>0</v>
      </c>
      <c r="C6" s="13" t="s">
        <v>1</v>
      </c>
      <c r="D6" s="13" t="s">
        <v>10</v>
      </c>
      <c r="E6" s="13" t="s">
        <v>11</v>
      </c>
      <c r="F6" s="13" t="s">
        <v>20</v>
      </c>
      <c r="G6" s="14" t="s">
        <v>16</v>
      </c>
      <c r="H6" s="13" t="s">
        <v>18</v>
      </c>
    </row>
    <row r="7" spans="2:8" x14ac:dyDescent="0.3">
      <c r="B7" s="9" t="s">
        <v>27</v>
      </c>
      <c r="C7" s="10" t="s">
        <v>4</v>
      </c>
      <c r="D7" s="11" t="s">
        <v>12</v>
      </c>
      <c r="E7" s="17">
        <v>92.9</v>
      </c>
      <c r="F7" s="17">
        <v>83.61</v>
      </c>
      <c r="G7" s="18">
        <v>6</v>
      </c>
      <c r="H7" s="17">
        <v>501.65999999999997</v>
      </c>
    </row>
    <row r="8" spans="2:8" x14ac:dyDescent="0.3">
      <c r="B8" s="9" t="s">
        <v>30</v>
      </c>
      <c r="C8" s="10" t="s">
        <v>4</v>
      </c>
      <c r="D8" s="11" t="s">
        <v>12</v>
      </c>
      <c r="E8" s="17">
        <v>48.9</v>
      </c>
      <c r="F8" s="17">
        <v>44.01</v>
      </c>
      <c r="G8" s="18">
        <v>2</v>
      </c>
      <c r="H8" s="17">
        <v>88.02</v>
      </c>
    </row>
    <row r="9" spans="2:8" x14ac:dyDescent="0.3">
      <c r="B9" s="9" t="s">
        <v>22</v>
      </c>
      <c r="C9" s="10" t="s">
        <v>4</v>
      </c>
      <c r="D9" s="11" t="s">
        <v>12</v>
      </c>
      <c r="E9" s="17">
        <v>42.5</v>
      </c>
      <c r="F9" s="17">
        <v>38.25</v>
      </c>
      <c r="G9" s="18">
        <v>6</v>
      </c>
      <c r="H9" s="17">
        <v>229.5</v>
      </c>
    </row>
    <row r="10" spans="2:8" x14ac:dyDescent="0.3">
      <c r="B10" s="9" t="s">
        <v>9</v>
      </c>
      <c r="C10" s="10" t="s">
        <v>4</v>
      </c>
      <c r="D10" s="11" t="s">
        <v>12</v>
      </c>
      <c r="E10" s="17">
        <v>32.9</v>
      </c>
      <c r="F10" s="17">
        <v>29.61</v>
      </c>
      <c r="G10" s="18">
        <v>6</v>
      </c>
      <c r="H10" s="17">
        <v>177.66</v>
      </c>
    </row>
    <row r="11" spans="2:8" x14ac:dyDescent="0.3">
      <c r="B11" s="5" t="s">
        <v>26</v>
      </c>
      <c r="C11" s="4" t="s">
        <v>4</v>
      </c>
      <c r="D11" s="3" t="s">
        <v>12</v>
      </c>
      <c r="E11" s="15">
        <v>299.89999999999998</v>
      </c>
      <c r="F11" s="15">
        <v>269.90999999999997</v>
      </c>
      <c r="G11" s="19">
        <v>1</v>
      </c>
      <c r="H11" s="15">
        <v>269.90999999999997</v>
      </c>
    </row>
    <row r="12" spans="2:8" x14ac:dyDescent="0.3">
      <c r="B12" s="5" t="s">
        <v>25</v>
      </c>
      <c r="C12" s="4" t="s">
        <v>4</v>
      </c>
      <c r="D12" s="3" t="s">
        <v>12</v>
      </c>
      <c r="E12" s="15">
        <v>299.89999999999998</v>
      </c>
      <c r="F12" s="15">
        <v>269.90999999999997</v>
      </c>
      <c r="G12" s="19">
        <v>1</v>
      </c>
      <c r="H12" s="15">
        <v>269.90999999999997</v>
      </c>
    </row>
    <row r="13" spans="2:8" x14ac:dyDescent="0.3">
      <c r="B13" s="5" t="s">
        <v>29</v>
      </c>
      <c r="C13" s="4" t="s">
        <v>4</v>
      </c>
      <c r="D13" s="3" t="s">
        <v>12</v>
      </c>
      <c r="E13" s="15">
        <v>93.5</v>
      </c>
      <c r="F13" s="15">
        <v>84.15</v>
      </c>
      <c r="G13" s="19">
        <v>2</v>
      </c>
      <c r="H13" s="15">
        <v>168.3</v>
      </c>
    </row>
    <row r="14" spans="2:8" ht="15" thickBot="1" x14ac:dyDescent="0.35">
      <c r="B14" s="6" t="s">
        <v>28</v>
      </c>
      <c r="C14" s="7" t="s">
        <v>4</v>
      </c>
      <c r="D14" s="8" t="s">
        <v>12</v>
      </c>
      <c r="E14" s="16">
        <v>146</v>
      </c>
      <c r="F14" s="16">
        <v>131.4</v>
      </c>
      <c r="G14" s="20">
        <v>2</v>
      </c>
      <c r="H14" s="16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8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Planilha3</vt:lpstr>
      <vt:lpstr>Produtos</vt:lpstr>
      <vt:lpstr>Vendas</vt:lpstr>
      <vt:lpstr>Dados para Graficos</vt:lpstr>
      <vt:lpstr>Dashboard (2)</vt:lpstr>
      <vt:lpstr>Dashboard</vt:lpstr>
      <vt:lpstr>Meus Números (Tabela)</vt:lpstr>
      <vt:lpstr>Filtro Avançado</vt:lpstr>
      <vt:lpstr>Meu Gráfico</vt:lpstr>
      <vt:lpstr>'Filtro Avançado'!Area_de_extracao</vt:lpstr>
      <vt:lpstr>'Filtro Avançado'!Criterios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Samir Oliveira</cp:lastModifiedBy>
  <cp:lastPrinted>2023-06-07T14:57:58Z</cp:lastPrinted>
  <dcterms:created xsi:type="dcterms:W3CDTF">2023-06-02T17:54:12Z</dcterms:created>
  <dcterms:modified xsi:type="dcterms:W3CDTF">2025-11-12T01:03:37Z</dcterms:modified>
</cp:coreProperties>
</file>