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85b6e2554a4e58c/Documentos/GitHub/portfolio-em-dados/Excel/E-commerce_meteora/"/>
    </mc:Choice>
  </mc:AlternateContent>
  <xr:revisionPtr revIDLastSave="8" documentId="8_{4FB294B6-FE3D-41FE-A8F4-47EF70925D13}" xr6:coauthVersionLast="47" xr6:coauthVersionMax="47" xr10:uidLastSave="{A1F9533C-12CB-4F03-BD67-89E8B740ED18}"/>
  <bookViews>
    <workbookView xWindow="28680" yWindow="-120" windowWidth="38640" windowHeight="15720" tabRatio="506" activeTab="3" xr2:uid="{F6D97A53-F63B-4272-A181-44B26E0B790F}"/>
  </bookViews>
  <sheets>
    <sheet name="Histórico_de_Vendas" sheetId="42" r:id="rId1"/>
    <sheet name="Cadastros Auxiliares" sheetId="23" state="hidden" r:id="rId2"/>
    <sheet name="Consulta" sheetId="45" r:id="rId3"/>
    <sheet name="Dashboard_Histórico" sheetId="40" r:id="rId4"/>
  </sheets>
  <definedNames>
    <definedName name="_xlcn.WorksheetConnection_Histórico_de_Vendas.xlsxCLT_Vendas1" hidden="1">CLT_Vendas[]</definedName>
    <definedName name="DadosExternos_1" localSheetId="0" hidden="1">Histórico_de_Vendas!$A$1:$H$253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_Nome_Produtos">#REF!</definedName>
    <definedName name="Int_Quantidade">#REF!</definedName>
    <definedName name="SegmentaçãodeDados_Data__Ano">#N/A</definedName>
    <definedName name="SegmentaçãodeDados_Vendedor">#N/A</definedName>
  </definedNames>
  <calcPr calcId="191029"/>
  <pivotCaches>
    <pivotCache cacheId="171" r:id="rId5"/>
    <pivotCache cacheId="198" r:id="rId6"/>
    <pivotCache cacheId="201" r:id="rId7"/>
    <pivotCache cacheId="255" r:id="rId8"/>
  </pivotCaches>
  <extLst>
    <ext xmlns:x14="http://schemas.microsoft.com/office/spreadsheetml/2009/9/main" uri="{876F7934-8845-4945-9796-88D515C7AA90}">
      <x14:pivotCaches>
        <pivotCache cacheId="149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Produtos_00d18187-b48b-4c70-bf01-fb960bb424d3" name="TB_Produtos" connection="Consulta - TB_Produtos"/>
          <x15:modelTable id="TB_Vendas_22a14838-b7d5-4855-bc9b-4e6fc426139c" name="TB_Vendas" connection="Consulta - TB_Vendas"/>
          <x15:modelTable id="TB_Vendedores_8b26ec20-a4a9-49b6-80af-bf92be23ce73" name="TB_Vendedores" connection="Consulta - TB_Vendedores"/>
          <x15:modelTable id="CLT_Vendas" name="CLT_Vendas" connection="WorksheetConnection_Histórico_de_Vendas.xlsx!CLT_Vendas"/>
        </x15:modelTables>
        <x15:modelRelationships>
          <x15:modelRelationship fromTable="CLT_Vendas" fromColumn="Vendedor" toTable="TB_Vendedores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LT_Vendas" columnName="Data" columnId="Data">
                <x16:calculatedTimeColumn columnName="Data (Ano)" columnId="Data (Ano)" contentType="years" isSelected="1"/>
                <x16:calculatedTimeColumn columnName="Data (Trimestre)" columnId="Data (Trimestre)" contentType="quarters" isSelected="1"/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" i="45" l="1"/>
  <c r="K12" i="45"/>
  <c r="K11" i="45"/>
  <c r="M13" i="45"/>
  <c r="M12" i="45"/>
  <c r="M11" i="45"/>
  <c r="L13" i="45"/>
  <c r="L12" i="45"/>
  <c r="L11" i="4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D0D7DE-260F-4F63-B54B-3BF19E27F473}" name="Consulta - TB_Produtos" description="Conexão com a consulta 'TB_Produtos' na pasta de trabalho." type="100" refreshedVersion="8" minRefreshableVersion="5">
    <extLst>
      <ext xmlns:x15="http://schemas.microsoft.com/office/spreadsheetml/2010/11/main" uri="{DE250136-89BD-433C-8126-D09CA5730AF9}">
        <x15:connection id="9b7767cc-cc40-4fc1-adb4-8fb0acd7c073"/>
      </ext>
    </extLst>
  </connection>
  <connection id="2" xr16:uid="{0530D952-F97C-4A33-AE6F-F5C913F801FC}" name="Consulta - TB_Vendas" description="Conexão com a consulta 'TB_Vendas' na pasta de trabalho." type="100" refreshedVersion="8" minRefreshableVersion="5">
    <extLst>
      <ext xmlns:x15="http://schemas.microsoft.com/office/spreadsheetml/2010/11/main" uri="{DE250136-89BD-433C-8126-D09CA5730AF9}">
        <x15:connection id="d657a007-0968-4227-8d5b-7224e0c80b11"/>
      </ext>
    </extLst>
  </connection>
  <connection id="3" xr16:uid="{51E8CF3E-EC47-4074-B05D-0B1058860A08}" name="Consulta - TB_Vendedores" description="Conexão com a consulta 'TB_Vendedores' na pasta de trabalho." type="100" refreshedVersion="8" minRefreshableVersion="5">
    <extLst>
      <ext xmlns:x15="http://schemas.microsoft.com/office/spreadsheetml/2010/11/main" uri="{DE250136-89BD-433C-8126-D09CA5730AF9}">
        <x15:connection id="67af9df0-e0bf-4244-8e81-5624e1d05a76"/>
      </ext>
    </extLst>
  </connection>
  <connection id="4" xr16:uid="{2663368A-4B8F-4211-9837-67DD612D341C}" keepAlive="1" name="Consulta - Vendas" description="Conexão com a consulta 'Vendas' na pasta de trabalho." type="5" refreshedVersion="8" background="1" saveData="1">
    <dbPr connection="Provider=Microsoft.Mashup.OleDb.1;Data Source=$Workbook$;Location=Vendas;Extended Properties=&quot;&quot;" command="SELECT * FROM [Vendas]"/>
  </connection>
  <connection id="5" xr16:uid="{A2554D6A-4395-410E-8AC5-554DBF546DD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975DA2EC-C748-47D2-8613-E9A51D72F7A4}" name="WorksheetConnection_Histórico_de_Vendas.xlsx!CLT_Vendas" type="102" refreshedVersion="8" minRefreshableVersion="5">
    <extLst>
      <ext xmlns:x15="http://schemas.microsoft.com/office/spreadsheetml/2010/11/main" uri="{DE250136-89BD-433C-8126-D09CA5730AF9}">
        <x15:connection id="CLT_Vendas">
          <x15:rangePr sourceName="_xlcn.WorksheetConnection_Histórico_de_Vendas.xlsxCLT_Vendas1"/>
        </x15:connection>
      </ext>
    </extLst>
  </connection>
</connections>
</file>

<file path=xl/sharedStrings.xml><?xml version="1.0" encoding="utf-8"?>
<sst xmlns="http://schemas.openxmlformats.org/spreadsheetml/2006/main" count="822" uniqueCount="116">
  <si>
    <t>Categoria</t>
  </si>
  <si>
    <t>Preço Unitário</t>
  </si>
  <si>
    <t>Vestuário</t>
  </si>
  <si>
    <t>Acessórios</t>
  </si>
  <si>
    <t>Calçado</t>
  </si>
  <si>
    <t>Qtd</t>
  </si>
  <si>
    <t>Total</t>
  </si>
  <si>
    <t>Código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</si>
  <si>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</si>
  <si>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</si>
  <si>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</si>
  <si>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</si>
  <si>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</si>
  <si>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</si>
  <si>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</si>
  <si>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</si>
  <si>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</si>
  <si>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</si>
  <si>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</si>
  <si>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</si>
  <si>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</si>
  <si>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</si>
  <si>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</si>
  <si>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</si>
  <si>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</si>
  <si>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</si>
  <si>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</si>
  <si>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</si>
  <si>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</si>
  <si>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</si>
  <si>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</si>
  <si>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</si>
  <si>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</si>
  <si>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</si>
  <si>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</si>
  <si>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</si>
  <si>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</si>
  <si>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</si>
  <si>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</si>
  <si>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</si>
  <si>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</si>
  <si>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</si>
  <si>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</si>
  <si>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</si>
  <si>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</si>
  <si>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</si>
  <si>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</si>
  <si>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Vendedor</t>
  </si>
  <si>
    <t>Data</t>
  </si>
  <si>
    <t>Vendas Mensais</t>
  </si>
  <si>
    <t>Vendas por Categoria</t>
  </si>
  <si>
    <t>Ranking Vendedores</t>
  </si>
  <si>
    <t>PR040</t>
  </si>
  <si>
    <t>PR041</t>
  </si>
  <si>
    <t>PR042</t>
  </si>
  <si>
    <t>PR043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</si>
  <si>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</si>
  <si>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</si>
  <si>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</si>
  <si>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</si>
  <si>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</si>
  <si>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</si>
  <si>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</si>
  <si>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</si>
  <si>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</si>
  <si>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</si>
  <si>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</si>
  <si>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</si>
  <si>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PR056</t>
  </si>
  <si>
    <t>PR057</t>
  </si>
  <si>
    <t>PR058</t>
  </si>
  <si>
    <t>PR059</t>
  </si>
  <si>
    <t>PR060</t>
  </si>
  <si>
    <t>VD001</t>
  </si>
  <si>
    <t>VD002</t>
  </si>
  <si>
    <t>VD003</t>
  </si>
  <si>
    <t>VD004</t>
  </si>
  <si>
    <t>VD005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</si>
  <si>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</si>
  <si>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</si>
  <si>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</si>
  <si>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</si>
  <si>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</si>
  <si>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</si>
  <si>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</si>
  <si>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</si>
  <si>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</si>
  <si>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Desconto por Categoria e Qtd</t>
  </si>
  <si>
    <t>Estoque Mínimo</t>
  </si>
  <si>
    <t>Desconto Final</t>
  </si>
  <si>
    <t>Rótulos de Linha</t>
  </si>
  <si>
    <t>Total Geral</t>
  </si>
  <si>
    <t>2021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</si>
  <si>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</si>
  <si>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</si>
  <si>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</si>
  <si>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</si>
  <si>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</si>
  <si>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</si>
  <si>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</si>
  <si>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</si>
  <si>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</si>
  <si>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</si>
  <si>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</si>
  <si>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</si>
  <si>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Total</t>
  </si>
  <si>
    <t>Amanda</t>
  </si>
  <si>
    <t>Bruno</t>
  </si>
  <si>
    <t>Clara</t>
  </si>
  <si>
    <t>João</t>
  </si>
  <si>
    <t>Sarah</t>
  </si>
  <si>
    <t>Rótulos de Coluna</t>
  </si>
  <si>
    <t>%Categorias</t>
  </si>
  <si>
    <t>%Restante</t>
  </si>
  <si>
    <t>Desse forma não podemos criar grafico de cada um separado</t>
  </si>
  <si>
    <t>Tem que ser assim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</si>
</sst>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  <numFmt numFmtId="166" formatCode="0.00%;\-0.00%;0.00%"/>
  </numFmts>
  <fonts count="2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sz val="8"/>
      <name val="Calibri"/>
      <family val="2"/>
      <scheme val="minor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b/>
      <sz val="18"/>
      <color theme="1"/>
      <name val="MuseoModerno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rgb="FFCCCCCC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1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71">
    <xf numFmtId="0" fontId="0" fillId="0" borderId="0" xfId="0"/>
    <xf numFmtId="0" fontId="6" fillId="0" borderId="0" xfId="0" applyFont="1"/>
    <xf numFmtId="0" fontId="8" fillId="0" borderId="0" xfId="0" applyFont="1"/>
    <xf numFmtId="0" fontId="12" fillId="2" borderId="10" xfId="3" applyFont="1" applyFill="1" applyBorder="1" applyAlignment="1">
      <alignment horizontal="center"/>
    </xf>
    <xf numFmtId="1" fontId="15" fillId="6" borderId="1" xfId="0" applyNumberFormat="1" applyFont="1" applyFill="1" applyBorder="1" applyAlignment="1">
      <alignment horizontal="center"/>
    </xf>
    <xf numFmtId="1" fontId="15" fillId="6" borderId="11" xfId="0" applyNumberFormat="1" applyFont="1" applyFill="1" applyBorder="1" applyAlignment="1">
      <alignment horizontal="center"/>
    </xf>
    <xf numFmtId="0" fontId="0" fillId="3" borderId="0" xfId="0" applyFill="1"/>
    <xf numFmtId="0" fontId="0" fillId="6" borderId="0" xfId="0" applyFill="1"/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6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12" fillId="2" borderId="12" xfId="3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9" fontId="13" fillId="0" borderId="1" xfId="5" applyFont="1" applyBorder="1" applyAlignment="1">
      <alignment horizontal="center" vertical="center"/>
    </xf>
    <xf numFmtId="0" fontId="12" fillId="2" borderId="13" xfId="3" applyFont="1" applyFill="1" applyBorder="1" applyAlignment="1">
      <alignment horizontal="center" vertical="center" wrapText="1"/>
    </xf>
    <xf numFmtId="0" fontId="12" fillId="2" borderId="13" xfId="3" applyFont="1" applyFill="1" applyBorder="1" applyAlignment="1">
      <alignment horizontal="center" vertical="center"/>
    </xf>
    <xf numFmtId="9" fontId="13" fillId="0" borderId="13" xfId="5" applyFont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9" fontId="0" fillId="0" borderId="0" xfId="5" applyFont="1"/>
    <xf numFmtId="0" fontId="18" fillId="0" borderId="0" xfId="0" applyFont="1"/>
    <xf numFmtId="0" fontId="12" fillId="2" borderId="2" xfId="3" applyFont="1" applyFill="1" applyBorder="1" applyAlignment="1">
      <alignment horizontal="center" vertical="center" wrapText="1"/>
    </xf>
    <xf numFmtId="0" fontId="12" fillId="2" borderId="14" xfId="3" applyFont="1" applyFill="1" applyBorder="1" applyAlignment="1">
      <alignment horizontal="center" vertical="center" wrapText="1"/>
    </xf>
    <xf numFmtId="0" fontId="13" fillId="0" borderId="13" xfId="5" applyNumberFormat="1" applyFont="1" applyBorder="1" applyAlignment="1">
      <alignment horizontal="center" vertical="center"/>
    </xf>
    <xf numFmtId="9" fontId="18" fillId="0" borderId="0" xfId="5" applyFont="1" applyFill="1"/>
    <xf numFmtId="0" fontId="7" fillId="0" borderId="0" xfId="0" applyFont="1" applyAlignment="1">
      <alignment vertical="center"/>
    </xf>
    <xf numFmtId="0" fontId="9" fillId="0" borderId="0" xfId="0" applyFont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0" fillId="0" borderId="0" xfId="0" applyFont="1" applyBorder="1"/>
    <xf numFmtId="0" fontId="0" fillId="0" borderId="0" xfId="0" applyBorder="1"/>
    <xf numFmtId="0" fontId="0" fillId="0" borderId="6" xfId="0" applyBorder="1"/>
    <xf numFmtId="0" fontId="0" fillId="0" borderId="0" xfId="0" pivotButton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center" vertical="center"/>
    </xf>
    <xf numFmtId="44" fontId="0" fillId="0" borderId="0" xfId="0" applyNumberFormat="1" applyBorder="1"/>
    <xf numFmtId="9" fontId="0" fillId="0" borderId="0" xfId="5" applyFont="1" applyBorder="1" applyAlignment="1">
      <alignment horizontal="center" vertical="center"/>
    </xf>
    <xf numFmtId="0" fontId="20" fillId="0" borderId="0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0" xfId="0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165" fontId="10" fillId="0" borderId="0" xfId="4" applyNumberFormat="1" applyFont="1" applyFill="1" applyBorder="1" applyAlignment="1" applyProtection="1">
      <protection locked="0"/>
    </xf>
  </cellXfs>
  <cellStyles count="6">
    <cellStyle name="Cabeçalho Meteora" xfId="3" xr:uid="{43DBFFA1-791E-423B-B2A6-377CC2810274}"/>
    <cellStyle name="Ênfase4" xfId="1" builtinId="41" customBuiltin="1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23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vertical="center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47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46" Type="http://schemas.openxmlformats.org/officeDocument/2006/relationships/customXml" Target="../customXml/item29.xml"/><Relationship Id="rId20" Type="http://schemas.openxmlformats.org/officeDocument/2006/relationships/customXml" Target="../customXml/item3.xml"/><Relationship Id="rId41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[Histórico_de_Vendas.xlsx]Consulta!Tabela dinâmica2</c:name>
    <c:fmtId val="1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0" baseline="0">
                  <a:ln w="22225">
                    <a:noFill/>
                    <a:prstDash val="solid"/>
                  </a:ln>
                  <a:solidFill>
                    <a:schemeClr val="accent2">
                      <a:lumMod val="40000"/>
                      <a:lumOff val="60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Consulta!$B$3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cap="none" spc="0" baseline="0">
                    <a:ln w="22225">
                      <a:noFill/>
                      <a:prstDash val="solid"/>
                    </a:ln>
                    <a:solidFill>
                      <a:schemeClr val="accent2">
                        <a:lumMod val="40000"/>
                        <a:lumOff val="60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Consulta!$A$4:$A$16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Consulta!$B$4:$B$16</c:f>
              <c:numCache>
                <c:formatCode>_("R$"* #,##0.00_);_("R$"* \(#,##0.00\);_("R$"* "-"??_);_(@_)</c:formatCode>
                <c:ptCount val="12"/>
                <c:pt idx="0">
                  <c:v>27065.5</c:v>
                </c:pt>
                <c:pt idx="1">
                  <c:v>7502.6</c:v>
                </c:pt>
                <c:pt idx="2">
                  <c:v>7197.4</c:v>
                </c:pt>
                <c:pt idx="3">
                  <c:v>17379.8</c:v>
                </c:pt>
                <c:pt idx="4">
                  <c:v>20685.5</c:v>
                </c:pt>
                <c:pt idx="5">
                  <c:v>22586.3</c:v>
                </c:pt>
                <c:pt idx="6">
                  <c:v>18730.099999999999</c:v>
                </c:pt>
                <c:pt idx="7">
                  <c:v>21585.8</c:v>
                </c:pt>
                <c:pt idx="8">
                  <c:v>19851</c:v>
                </c:pt>
                <c:pt idx="9">
                  <c:v>15659.4</c:v>
                </c:pt>
                <c:pt idx="10">
                  <c:v>9455.2000000000007</c:v>
                </c:pt>
                <c:pt idx="11">
                  <c:v>19742.5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1-4FDD-8FDE-2DDBB69558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7312319"/>
        <c:axId val="487309439"/>
      </c:barChart>
      <c:catAx>
        <c:axId val="48731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309439"/>
        <c:crosses val="autoZero"/>
        <c:auto val="1"/>
        <c:lblAlgn val="ctr"/>
        <c:lblOffset val="100"/>
        <c:noMultiLvlLbl val="0"/>
      </c:catAx>
      <c:valAx>
        <c:axId val="4873094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8731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[Histórico_de_Vendas.xlsx]Consulta!Tabela dinâmica3</c:name>
    <c:fmtId val="2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Consulta!$E$3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Consulta!$D$4:$D$9</c:f>
              <c:strCache>
                <c:ptCount val="5"/>
                <c:pt idx="0">
                  <c:v>Clara</c:v>
                </c:pt>
                <c:pt idx="1">
                  <c:v>João</c:v>
                </c:pt>
                <c:pt idx="2">
                  <c:v>Amanda</c:v>
                </c:pt>
                <c:pt idx="3">
                  <c:v>Sarah</c:v>
                </c:pt>
                <c:pt idx="4">
                  <c:v>Bruno</c:v>
                </c:pt>
              </c:strCache>
            </c:strRef>
          </c:cat>
          <c:val>
            <c:numRef>
              <c:f>Consulta!$E$4:$E$9</c:f>
              <c:numCache>
                <c:formatCode>_("R$"* #,##0.00_);_("R$"* \(#,##0.00\);_("R$"* "-"??_);_(@_)</c:formatCode>
                <c:ptCount val="5"/>
                <c:pt idx="0">
                  <c:v>36204.6</c:v>
                </c:pt>
                <c:pt idx="1">
                  <c:v>36468.6</c:v>
                </c:pt>
                <c:pt idx="2">
                  <c:v>37864</c:v>
                </c:pt>
                <c:pt idx="3">
                  <c:v>47690</c:v>
                </c:pt>
                <c:pt idx="4">
                  <c:v>49213.9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4-489A-AF6E-A9570218BD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32514815"/>
        <c:axId val="532511935"/>
      </c:barChart>
      <c:catAx>
        <c:axId val="5325148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baseline="0">
                <a:ln w="22225">
                  <a:noFill/>
                  <a:prstDash val="solid"/>
                </a:ln>
                <a:solidFill>
                  <a:schemeClr val="accent2">
                    <a:lumMod val="40000"/>
                    <a:lumOff val="60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2511935"/>
        <c:crosses val="autoZero"/>
        <c:auto val="1"/>
        <c:lblAlgn val="ctr"/>
        <c:lblOffset val="100"/>
        <c:noMultiLvlLbl val="0"/>
      </c:catAx>
      <c:valAx>
        <c:axId val="53251193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3251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 w="22225">
                <a:noFill/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Consulta!$K$11</c:f>
              <c:strCache>
                <c:ptCount val="1"/>
                <c:pt idx="0">
                  <c:v>Acessórios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24-4949-9D21-AE9E1BF7AB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24-4949-9D21-AE9E1BF7ABC5}"/>
              </c:ext>
            </c:extLst>
          </c:dPt>
          <c:val>
            <c:numRef>
              <c:f>Consulta!$L$11:$M$11</c:f>
              <c:numCache>
                <c:formatCode>0%</c:formatCode>
                <c:ptCount val="2"/>
                <c:pt idx="0">
                  <c:v>0.15173704728715764</c:v>
                </c:pt>
                <c:pt idx="1">
                  <c:v>-0.84826295271284236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24-4949-9D21-AE9E1BF7A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 w="22225">
                <a:noFill/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Consulta!$K$12</c:f>
              <c:strCache>
                <c:ptCount val="1"/>
                <c:pt idx="0">
                  <c:v>Calçado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C2-4E19-85A5-1F8DEDEFB51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C2-4E19-85A5-1F8DEDEFB51F}"/>
              </c:ext>
            </c:extLst>
          </c:dPt>
          <c:val>
            <c:numRef>
              <c:f>Consulta!$L$12:$M$12</c:f>
              <c:numCache>
                <c:formatCode>0%</c:formatCode>
                <c:ptCount val="2"/>
                <c:pt idx="0">
                  <c:v>0.19696868171254395</c:v>
                </c:pt>
                <c:pt idx="1">
                  <c:v>-0.803031318287456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C2-4E19-85A5-1F8DEDEFB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 w="22225">
                <a:noFill/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Consulta!$K$13</c:f>
              <c:strCache>
                <c:ptCount val="1"/>
                <c:pt idx="0">
                  <c:v>Vestuário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9F-412E-B232-31EB0757D66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9F-412E-B232-31EB0757D66E}"/>
              </c:ext>
            </c:extLst>
          </c:dPt>
          <c:val>
            <c:numRef>
              <c:f>Consulta!$L$13:$M$13</c:f>
              <c:numCache>
                <c:formatCode>0%</c:formatCode>
                <c:ptCount val="2"/>
                <c:pt idx="0">
                  <c:v>0.65129427100029846</c:v>
                </c:pt>
                <c:pt idx="1">
                  <c:v>-0.34870572899970154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9F-412E-B232-31EB0757D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15240</xdr:colOff>
      <xdr:row>5</xdr:row>
      <xdr:rowOff>57610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1E5371-819C-4A8F-821F-EED1F8598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10</xdr:row>
      <xdr:rowOff>28575</xdr:rowOff>
    </xdr:from>
    <xdr:to>
      <xdr:col>80</xdr:col>
      <xdr:colOff>0</xdr:colOff>
      <xdr:row>23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83D5D2-9BBD-BF54-B1EA-7B8973D75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27</xdr:row>
      <xdr:rowOff>1906</xdr:rowOff>
    </xdr:from>
    <xdr:to>
      <xdr:col>80</xdr:col>
      <xdr:colOff>15240</xdr:colOff>
      <xdr:row>46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679F90-6EF5-6DC6-5237-9E6E3B9B2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48</xdr:col>
      <xdr:colOff>100965</xdr:colOff>
      <xdr:row>0</xdr:row>
      <xdr:rowOff>0</xdr:rowOff>
    </xdr:from>
    <xdr:to>
      <xdr:col>59</xdr:col>
      <xdr:colOff>93345</xdr:colOff>
      <xdr:row>7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Data (Ano)">
              <a:extLst>
                <a:ext uri="{FF2B5EF4-FFF2-40B4-BE49-F238E27FC236}">
                  <a16:creationId xmlns:a16="http://schemas.microsoft.com/office/drawing/2014/main" id="{71029612-8016-42D6-B58F-8B9D72E006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Ano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1700" y="0"/>
              <a:ext cx="1428750" cy="9628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59</xdr:col>
      <xdr:colOff>32383</xdr:colOff>
      <xdr:row>0</xdr:row>
      <xdr:rowOff>0</xdr:rowOff>
    </xdr:from>
    <xdr:to>
      <xdr:col>80</xdr:col>
      <xdr:colOff>15240</xdr:colOff>
      <xdr:row>7</xdr:row>
      <xdr:rowOff>114299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Vendedor">
              <a:extLst>
                <a:ext uri="{FF2B5EF4-FFF2-40B4-BE49-F238E27FC236}">
                  <a16:creationId xmlns:a16="http://schemas.microsoft.com/office/drawing/2014/main" id="{ADE073B5-A7D4-4B5D-8D66-BEBC397146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93773" y="0"/>
              <a:ext cx="2716186" cy="962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2852</xdr:colOff>
      <xdr:row>27</xdr:row>
      <xdr:rowOff>3802</xdr:rowOff>
    </xdr:from>
    <xdr:to>
      <xdr:col>14</xdr:col>
      <xdr:colOff>83852</xdr:colOff>
      <xdr:row>46</xdr:row>
      <xdr:rowOff>3802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35BB9B93-9743-90D9-4840-9F063AC4C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66675</xdr:colOff>
      <xdr:row>27</xdr:row>
      <xdr:rowOff>952</xdr:rowOff>
    </xdr:from>
    <xdr:to>
      <xdr:col>27</xdr:col>
      <xdr:colOff>56198</xdr:colOff>
      <xdr:row>46</xdr:row>
      <xdr:rowOff>952</xdr:rowOff>
    </xdr:to>
    <xdr:graphicFrame macro="">
      <xdr:nvGraphicFramePr>
        <xdr:cNvPr id="8" name="Gráfico 2">
          <a:extLst>
            <a:ext uri="{FF2B5EF4-FFF2-40B4-BE49-F238E27FC236}">
              <a16:creationId xmlns:a16="http://schemas.microsoft.com/office/drawing/2014/main" id="{C540C6C7-F00D-4940-BBCB-9BBED7055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49529</xdr:colOff>
      <xdr:row>27</xdr:row>
      <xdr:rowOff>0</xdr:rowOff>
    </xdr:from>
    <xdr:to>
      <xdr:col>39</xdr:col>
      <xdr:colOff>130529</xdr:colOff>
      <xdr:row>46</xdr:row>
      <xdr:rowOff>0</xdr:rowOff>
    </xdr:to>
    <xdr:graphicFrame macro="">
      <xdr:nvGraphicFramePr>
        <xdr:cNvPr id="9" name="Gráfico 2">
          <a:extLst>
            <a:ext uri="{FF2B5EF4-FFF2-40B4-BE49-F238E27FC236}">
              <a16:creationId xmlns:a16="http://schemas.microsoft.com/office/drawing/2014/main" id="{2EB89E14-69D9-4F6C-B796-FE4E2C7C3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21908</xdr:colOff>
      <xdr:row>35</xdr:row>
      <xdr:rowOff>76199</xdr:rowOff>
    </xdr:from>
    <xdr:to>
      <xdr:col>11</xdr:col>
      <xdr:colOff>69533</xdr:colOff>
      <xdr:row>40</xdr:row>
      <xdr:rowOff>57149</xdr:rowOff>
    </xdr:to>
    <xdr:sp macro="" textlink="Consulta!L11">
      <xdr:nvSpPr>
        <xdr:cNvPr id="10" name="CaixaDeTexto 9">
          <a:extLst>
            <a:ext uri="{FF2B5EF4-FFF2-40B4-BE49-F238E27FC236}">
              <a16:creationId xmlns:a16="http://schemas.microsoft.com/office/drawing/2014/main" id="{FE7F6BAC-B57C-8935-4337-6D8284880BD8}"/>
            </a:ext>
          </a:extLst>
        </xdr:cNvPr>
        <xdr:cNvSpPr txBox="1"/>
      </xdr:nvSpPr>
      <xdr:spPr>
        <a:xfrm>
          <a:off x="688658" y="4410074"/>
          <a:ext cx="847725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973CF24-D4F7-4EBD-A6C4-9FFBBA1E2C7E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15%</a:t>
          </a:fld>
          <a:endParaRPr lang="pt-BR" sz="40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87630</xdr:colOff>
      <xdr:row>35</xdr:row>
      <xdr:rowOff>60291</xdr:rowOff>
    </xdr:from>
    <xdr:to>
      <xdr:col>24</xdr:col>
      <xdr:colOff>26113</xdr:colOff>
      <xdr:row>40</xdr:row>
      <xdr:rowOff>61913</xdr:rowOff>
    </xdr:to>
    <xdr:sp macro="" textlink="Consulta!L12">
      <xdr:nvSpPr>
        <xdr:cNvPr id="11" name="CaixaDeTexto 10">
          <a:extLst>
            <a:ext uri="{FF2B5EF4-FFF2-40B4-BE49-F238E27FC236}">
              <a16:creationId xmlns:a16="http://schemas.microsoft.com/office/drawing/2014/main" id="{58352909-DF39-4CDD-9EB1-12A4F19CC244}"/>
            </a:ext>
          </a:extLst>
        </xdr:cNvPr>
        <xdr:cNvSpPr txBox="1"/>
      </xdr:nvSpPr>
      <xdr:spPr>
        <a:xfrm>
          <a:off x="2354580" y="4394166"/>
          <a:ext cx="871933" cy="6207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78ADCE0-E1BD-4423-80E9-8A012F01F68F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20%</a:t>
          </a:fld>
          <a:endParaRPr lang="pt-BR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30</xdr:col>
      <xdr:colOff>61912</xdr:colOff>
      <xdr:row>35</xdr:row>
      <xdr:rowOff>66675</xdr:rowOff>
    </xdr:from>
    <xdr:to>
      <xdr:col>36</xdr:col>
      <xdr:colOff>115252</xdr:colOff>
      <xdr:row>40</xdr:row>
      <xdr:rowOff>49530</xdr:rowOff>
    </xdr:to>
    <xdr:sp macro="" textlink="Consulta!L13">
      <xdr:nvSpPr>
        <xdr:cNvPr id="12" name="CaixaDeTexto 11">
          <a:extLst>
            <a:ext uri="{FF2B5EF4-FFF2-40B4-BE49-F238E27FC236}">
              <a16:creationId xmlns:a16="http://schemas.microsoft.com/office/drawing/2014/main" id="{AD8EAAA9-4DF6-47D8-8C1A-31A0D8F2CA00}"/>
            </a:ext>
          </a:extLst>
        </xdr:cNvPr>
        <xdr:cNvSpPr txBox="1"/>
      </xdr:nvSpPr>
      <xdr:spPr>
        <a:xfrm>
          <a:off x="4062412" y="4400550"/>
          <a:ext cx="853440" cy="601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16D782F-3881-4C09-8A48-779579953819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65%</a:t>
          </a:fld>
          <a:endParaRPr lang="pt-BR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Oliveira" refreshedDate="45973.40487604167" backgroundQuery="1" createdVersion="8" refreshedVersion="8" minRefreshableVersion="3" recordCount="0" supportSubquery="1" supportAdvancedDrill="1" xr:uid="{E2A5B156-0E23-490B-983F-B69E1C2D34BD}">
  <cacheSource type="external" connectionId="5"/>
  <cacheFields count="2">
    <cacheField name="[Measures].[Soma de Total]" caption="Soma de Total" numFmtId="0" hierarchy="35" level="32767"/>
    <cacheField name="[TB_Vendedores].[Vendedor].[Vendedor]" caption="Vendedor" numFmtId="0" hierarchy="31" level="1">
      <sharedItems count="5">
        <s v="Amanda"/>
        <s v="Bruno"/>
        <s v="Clara"/>
        <s v="João"/>
        <s v="Sarah"/>
      </sharedItems>
    </cacheField>
  </cacheFields>
  <cacheHierarchies count="47">
    <cacheHierarchy uniqueName="[CLT_Vendas].[Data]" caption="Data" attribute="1" time="1" defaultMemberUniqueName="[CLT_Vendas].[Data].[All]" allUniqueName="[CLT_Vendas].[Data].[All]" dimensionUniqueName="[CLT_Vendas]" displayFolder="" count="0" memberValueDatatype="7" unbalanced="0"/>
    <cacheHierarchy uniqueName="[CLT_Vendas].[Código]" caption="Código" attribute="1" defaultMemberUniqueName="[CLT_Vendas].[Código].[All]" allUniqueName="[CLT_Vendas].[Código].[All]" dimensionUniqueName="[CLT_Vendas]" displayFolder="" count="0" memberValueDatatype="130" unbalanced="0"/>
    <cacheHierarchy uniqueName="[CLT_Vendas].[Categoria]" caption="Categoria" attribute="1" defaultMemberUniqueName="[CLT_Vendas].[Categoria].[All]" allUniqueName="[CLT_Vendas].[Categoria].[All]" dimensionUniqueName="[CLT_Vendas]" displayFolder="" count="0" memberValueDatatype="130" unbalanced="0"/>
    <cacheHierarchy uniqueName="[CLT_Vendas].[Qtd]" caption="Qtd" attribute="1" defaultMemberUniqueName="[CLT_Vendas].[Qtd].[All]" allUniqueName="[CLT_Vendas].[Qtd].[All]" dimensionUniqueName="[CLT_Vendas]" displayFolder="" count="0" memberValueDatatype="20" unbalanced="0"/>
    <cacheHierarchy uniqueName="[CLT_Vendas].[Preço Unitário]" caption="Preço Unitário" attribute="1" defaultMemberUniqueName="[CLT_Vendas].[Preço Unitário].[All]" allUniqueName="[CLT_Vendas].[Preço Unitário].[All]" dimensionUniqueName="[CLT_Vendas]" displayFolder="" count="0" memberValueDatatype="5" unbalanced="0"/>
    <cacheHierarchy uniqueName="[CLT_Vendas].[Desconto Final]" caption="Desconto Final" attribute="1" defaultMemberUniqueName="[CLT_Vendas].[Desconto Final].[All]" allUniqueName="[CLT_Vendas].[Desconto Final].[All]" dimensionUniqueName="[CLT_Vendas]" displayFolder="" count="0" memberValueDatatype="5" unbalanced="0"/>
    <cacheHierarchy uniqueName="[CLT_Vendas].[Total]" caption="Total" attribute="1" defaultMemberUniqueName="[CLT_Vendas].[Total].[All]" allUniqueName="[CLT_Vendas].[Total].[All]" dimensionUniqueName="[CLT_Vendas]" displayFolder="" count="0" memberValueDatatype="5" unbalanced="0"/>
    <cacheHierarchy uniqueName="[CLT_Vendas].[Vendedor]" caption="Vendedor" attribute="1" defaultMemberUniqueName="[CLT_Vendas].[Vendedor].[All]" allUniqueName="[CLT_Vendas].[Vendedor].[All]" dimensionUniqueName="[CLT_Vendas]" displayFolder="" count="0" memberValueDatatype="130" unbalanced="0"/>
    <cacheHierarchy uniqueName="[CLT_Vendas].[Data (Ano)]" caption="Data (Ano)" attribute="1" defaultMemberUniqueName="[CLT_Vendas].[Data (Ano)].[All]" allUniqueName="[CLT_Vendas].[Data (Ano)].[All]" dimensionUniqueName="[CLT_Vendas]" displayFolder="" count="0" memberValueDatatype="130" unbalanced="0"/>
    <cacheHierarchy uniqueName="[CLT_Vendas].[Data (Trimestre)]" caption="Data (Trimestre)" attribute="1" defaultMemberUniqueName="[CLT_Vendas].[Data (Trimestre)].[All]" allUniqueName="[CLT_Vendas].[Data (Trimestre)].[All]" dimensionUniqueName="[CLT_Vendas]" displayFolder="" count="0" memberValueDatatype="130" unbalanced="0"/>
    <cacheHierarchy uniqueName="[CLT_Vendas].[Data (Mês)]" caption="Data (Mês)" attribute="1" defaultMemberUniqueName="[CLT_Vendas].[Data (Mês)].[All]" allUniqueName="[CLT_Vendas].[Data (Mês)].[All]" dimensionUniqueName="[CLT_Vendas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2" memberValueDatatype="130" unbalanced="0">
      <fieldsUsage count="2">
        <fieldUsage x="-1"/>
        <fieldUsage x="1"/>
      </fieldsUsage>
    </cacheHierarchy>
    <cacheHierarchy uniqueName="[TB_Vendedores].[Cidade]" caption="Cidade" attribute="1" defaultMemberUniqueName="[TB_Vendedores].[Cidade].[All]" allUniqueName="[TB_Vendedores].[Cidade].[All]" dimensionUniqueName="[TB_Vendedores]" displayFolder="" count="0" memberValueDatatype="130" unbalanced="0"/>
    <cacheHierarchy uniqueName="[TB_Vendedores].[Desc. Máximo]" caption="Desc. Máximo" attribute="1" defaultMemberUniqueName="[TB_Vendedores].[Desc. Máximo].[All]" allUniqueName="[TB_Vendedores].[Desc. Máximo].[All]" dimensionUniqueName="[TB_Vendedores]" displayFolder="" count="0" memberValueDatatype="5" unbalanced="0"/>
    <cacheHierarchy uniqueName="[CLT_Vendas].[Data (Índice de Mês)]" caption="Data (Índice de Mês)" attribute="1" defaultMemberUniqueName="[CLT_Vendas].[Data (Índice de Mês)].[All]" allUniqueName="[CLT_Vendas].[Data (Índice de Mês)].[All]" dimensionUniqueName="[CLT_Vendas]" displayFolder="" count="0" memberValueDatatype="20" unbalanced="0" hidden="1"/>
    <cacheHierarchy uniqueName="[Measures].[Soma de Total]" caption="Soma de Total" measure="1" displayFolder="" measureGroup="CLT_Vend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Data (Trimestre)]" caption="Contagem de Data (Trimestre)" measure="1" displayFolder="" measureGroup="CLT_Venda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Data (Ano)]" caption="Contagem de Data (Ano)" measure="1" displayFolder="" measureGroup="CLT_Venda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-das-Vendas]" caption="Soma-das-Vendas" measure="1" displayFolder="" measureGroup="CLT_Vendas" count="0"/>
    <cacheHierarchy uniqueName="[Measures].[Totais-da-Soma]" caption="Totais-da-Soma" measure="1" displayFolder="" measureGroup="CLT_Vendas" count="0"/>
    <cacheHierarchy uniqueName="[Measures].[%Categorias]" caption="%Categorias" measure="1" displayFolder="" measureGroup="CLT_Vendas" count="0"/>
    <cacheHierarchy uniqueName="[Measures].[%Restante]" caption="%Restante" measure="1" displayFolder="" measureGroup="CLT_Vendas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TB_Vendedores]" caption="__XL_Count TB_Vendedores" measure="1" displayFolder="" measureGroup="TB_Vendedores" count="0" hidden="1"/>
    <cacheHierarchy uniqueName="[Measures].[__XL_Count CLT_Vendas]" caption="__XL_Count CLT_Vendas" measure="1" displayFolder="" measureGroup="CLT_Vendas" count="0" hidden="1"/>
    <cacheHierarchy uniqueName="[Measures].[__No measures defined]" caption="__No measures defined" measure="1" displayFolder="" count="0" hidden="1"/>
  </cacheHierarchies>
  <kpis count="0"/>
  <dimensions count="5">
    <dimension name="CLT_Vendas" uniqueName="[CLT_Vendas]" caption="CLT_Vendas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edores" uniqueName="[TB_Vendedores]" caption="TB_Vendedores"/>
  </dimensions>
  <measureGroups count="4">
    <measureGroup name="CLT_Vendas" caption="CLT_Vendas"/>
    <measureGroup name="TB_Produtos" caption="TB_Produtos"/>
    <measureGroup name="TB_Vendas" caption="TB_Vendas"/>
    <measureGroup name="TB_Vendedores" caption="TB_Vendedores"/>
  </measureGroups>
  <maps count="5">
    <map measureGroup="0" dimension="0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Oliveira" refreshedDate="45973.409388425927" backgroundQuery="1" createdVersion="8" refreshedVersion="8" minRefreshableVersion="3" recordCount="0" supportSubquery="1" supportAdvancedDrill="1" xr:uid="{92AF08C4-5C16-440B-850B-41A43B87E7DF}">
  <cacheSource type="external" connectionId="5"/>
  <cacheFields count="1">
    <cacheField name="[CLT_Vendas].[Data (Ano)].[Data (Ano)]" caption="Data (Ano)" numFmtId="0" hierarchy="8" level="1">
      <sharedItems count="1">
        <s v="2021"/>
      </sharedItems>
    </cacheField>
  </cacheFields>
  <cacheHierarchies count="47">
    <cacheHierarchy uniqueName="[CLT_Vendas].[Data]" caption="Data" attribute="1" time="1" defaultMemberUniqueName="[CLT_Vendas].[Data].[All]" allUniqueName="[CLT_Vendas].[Data].[All]" dimensionUniqueName="[CLT_Vendas]" displayFolder="" count="0" memberValueDatatype="7" unbalanced="0"/>
    <cacheHierarchy uniqueName="[CLT_Vendas].[Código]" caption="Código" attribute="1" defaultMemberUniqueName="[CLT_Vendas].[Código].[All]" allUniqueName="[CLT_Vendas].[Código].[All]" dimensionUniqueName="[CLT_Vendas]" displayFolder="" count="0" memberValueDatatype="130" unbalanced="0"/>
    <cacheHierarchy uniqueName="[CLT_Vendas].[Categoria]" caption="Categoria" attribute="1" defaultMemberUniqueName="[CLT_Vendas].[Categoria].[All]" allUniqueName="[CLT_Vendas].[Categoria].[All]" dimensionUniqueName="[CLT_Vendas]" displayFolder="" count="0" memberValueDatatype="130" unbalanced="0"/>
    <cacheHierarchy uniqueName="[CLT_Vendas].[Qtd]" caption="Qtd" attribute="1" defaultMemberUniqueName="[CLT_Vendas].[Qtd].[All]" allUniqueName="[CLT_Vendas].[Qtd].[All]" dimensionUniqueName="[CLT_Vendas]" displayFolder="" count="0" memberValueDatatype="20" unbalanced="0"/>
    <cacheHierarchy uniqueName="[CLT_Vendas].[Preço Unitário]" caption="Preço Unitário" attribute="1" defaultMemberUniqueName="[CLT_Vendas].[Preço Unitário].[All]" allUniqueName="[CLT_Vendas].[Preço Unitário].[All]" dimensionUniqueName="[CLT_Vendas]" displayFolder="" count="0" memberValueDatatype="5" unbalanced="0"/>
    <cacheHierarchy uniqueName="[CLT_Vendas].[Desconto Final]" caption="Desconto Final" attribute="1" defaultMemberUniqueName="[CLT_Vendas].[Desconto Final].[All]" allUniqueName="[CLT_Vendas].[Desconto Final].[All]" dimensionUniqueName="[CLT_Vendas]" displayFolder="" count="0" memberValueDatatype="5" unbalanced="0"/>
    <cacheHierarchy uniqueName="[CLT_Vendas].[Total]" caption="Total" attribute="1" defaultMemberUniqueName="[CLT_Vendas].[Total].[All]" allUniqueName="[CLT_Vendas].[Total].[All]" dimensionUniqueName="[CLT_Vendas]" displayFolder="" count="0" memberValueDatatype="5" unbalanced="0"/>
    <cacheHierarchy uniqueName="[CLT_Vendas].[Vendedor]" caption="Vendedor" attribute="1" defaultMemberUniqueName="[CLT_Vendas].[Vendedor].[All]" allUniqueName="[CLT_Vendas].[Vendedor].[All]" dimensionUniqueName="[CLT_Vendas]" displayFolder="" count="0" memberValueDatatype="130" unbalanced="0"/>
    <cacheHierarchy uniqueName="[CLT_Vendas].[Data (Ano)]" caption="Data (Ano)" attribute="1" defaultMemberUniqueName="[CLT_Vendas].[Data (Ano)].[All]" allUniqueName="[CLT_Vendas].[Data (Ano)].[All]" dimensionUniqueName="[CLT_Vendas]" displayFolder="" count="2" memberValueDatatype="130" unbalanced="0">
      <fieldsUsage count="2">
        <fieldUsage x="-1"/>
        <fieldUsage x="0"/>
      </fieldsUsage>
    </cacheHierarchy>
    <cacheHierarchy uniqueName="[CLT_Vendas].[Data (Trimestre)]" caption="Data (Trimestre)" attribute="1" defaultMemberUniqueName="[CLT_Vendas].[Data (Trimestre)].[All]" allUniqueName="[CLT_Vendas].[Data (Trimestre)].[All]" dimensionUniqueName="[CLT_Vendas]" displayFolder="" count="0" memberValueDatatype="130" unbalanced="0"/>
    <cacheHierarchy uniqueName="[CLT_Vendas].[Data (Mês)]" caption="Data (Mês)" attribute="1" defaultMemberUniqueName="[CLT_Vendas].[Data (Mês)].[All]" allUniqueName="[CLT_Vendas].[Data (Mês)].[All]" dimensionUniqueName="[CLT_Vendas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dade]" caption="Cidade" attribute="1" defaultMemberUniqueName="[TB_Vendedores].[Cidade].[All]" allUniqueName="[TB_Vendedores].[Cidade].[All]" dimensionUniqueName="[TB_Vendedores]" displayFolder="" count="0" memberValueDatatype="130" unbalanced="0"/>
    <cacheHierarchy uniqueName="[TB_Vendedores].[Desc. Máximo]" caption="Desc. Máximo" attribute="1" defaultMemberUniqueName="[TB_Vendedores].[Desc. Máximo].[All]" allUniqueName="[TB_Vendedores].[Desc. Máximo].[All]" dimensionUniqueName="[TB_Vendedores]" displayFolder="" count="0" memberValueDatatype="5" unbalanced="0"/>
    <cacheHierarchy uniqueName="[CLT_Vendas].[Data (Índice de Mês)]" caption="Data (Índice de Mês)" attribute="1" defaultMemberUniqueName="[CLT_Vendas].[Data (Índice de Mês)].[All]" allUniqueName="[CLT_Vendas].[Data (Índice de Mês)].[All]" dimensionUniqueName="[CLT_Vendas]" displayFolder="" count="0" memberValueDatatype="20" unbalanced="0" hidden="1"/>
    <cacheHierarchy uniqueName="[Measures].[Soma de Total]" caption="Soma de Total" measure="1" displayFolder="" measureGroup="CLT_Venda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Data (Trimestre)]" caption="Contagem de Data (Trimestre)" measure="1" displayFolder="" measureGroup="CLT_Venda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Data (Ano)]" caption="Contagem de Data (Ano)" measure="1" displayFolder="" measureGroup="CLT_Venda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-das-Vendas]" caption="Soma-das-Vendas" measure="1" displayFolder="" measureGroup="CLT_Vendas" count="0"/>
    <cacheHierarchy uniqueName="[Measures].[Totais-da-Soma]" caption="Totais-da-Soma" measure="1" displayFolder="" measureGroup="CLT_Vendas" count="0"/>
    <cacheHierarchy uniqueName="[Measures].[%Categorias]" caption="%Categorias" measure="1" displayFolder="" measureGroup="CLT_Vendas" count="0"/>
    <cacheHierarchy uniqueName="[Measures].[%Restante]" caption="%Restante" measure="1" displayFolder="" measureGroup="CLT_Vendas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TB_Vendedores]" caption="__XL_Count TB_Vendedores" measure="1" displayFolder="" measureGroup="TB_Vendedores" count="0" hidden="1"/>
    <cacheHierarchy uniqueName="[Measures].[__XL_Count CLT_Vendas]" caption="__XL_Count CLT_Vendas" measure="1" displayFolder="" measureGroup="CLT_Vendas" count="0" hidden="1"/>
    <cacheHierarchy uniqueName="[Measures].[__No measures defined]" caption="__No measures defined" measure="1" displayFolder="" count="0" hidden="1"/>
  </cacheHierarchies>
  <kpis count="0"/>
  <dimensions count="5">
    <dimension name="CLT_Vendas" uniqueName="[CLT_Vendas]" caption="CLT_Vendas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edores" uniqueName="[TB_Vendedores]" caption="TB_Vendedores"/>
  </dimensions>
  <measureGroups count="4">
    <measureGroup name="CLT_Vendas" caption="CLT_Vendas"/>
    <measureGroup name="TB_Produtos" caption="TB_Produtos"/>
    <measureGroup name="TB_Vendas" caption="TB_Vendas"/>
    <measureGroup name="TB_Vendedores" caption="TB_Vendedores"/>
  </measureGroups>
  <maps count="5">
    <map measureGroup="0" dimension="0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Oliveira" refreshedDate="45973.411702199075" backgroundQuery="1" createdVersion="8" refreshedVersion="8" minRefreshableVersion="3" recordCount="0" supportSubquery="1" supportAdvancedDrill="1" xr:uid="{3B83BBC7-C442-45B3-B1E6-B74DB6993C39}">
  <cacheSource type="external" connectionId="5"/>
  <cacheFields count="4">
    <cacheField name="[CLT_Vendas].[Categoria].[Categoria]" caption="Categoria" numFmtId="0" hierarchy="2" level="1">
      <sharedItems count="3">
        <s v="Acessórios"/>
        <s v="Calçado"/>
        <s v="Vestuário"/>
      </sharedItems>
    </cacheField>
    <cacheField name="[Measures].[%Categorias]" caption="%Categorias" numFmtId="0" hierarchy="40" level="32767"/>
    <cacheField name="[Measures].[%Restante]" caption="%Restante" numFmtId="0" hierarchy="41" level="32767"/>
    <cacheField name="[Measures].[Soma de Total]" caption="Soma de Total" numFmtId="0" hierarchy="35" level="32767"/>
  </cacheFields>
  <cacheHierarchies count="47">
    <cacheHierarchy uniqueName="[CLT_Vendas].[Data]" caption="Data" attribute="1" time="1" defaultMemberUniqueName="[CLT_Vendas].[Data].[All]" allUniqueName="[CLT_Vendas].[Data].[All]" dimensionUniqueName="[CLT_Vendas]" displayFolder="" count="0" memberValueDatatype="7" unbalanced="0"/>
    <cacheHierarchy uniqueName="[CLT_Vendas].[Código]" caption="Código" attribute="1" defaultMemberUniqueName="[CLT_Vendas].[Código].[All]" allUniqueName="[CLT_Vendas].[Código].[All]" dimensionUniqueName="[CLT_Vendas]" displayFolder="" count="0" memberValueDatatype="130" unbalanced="0"/>
    <cacheHierarchy uniqueName="[CLT_Vendas].[Categoria]" caption="Categoria" attribute="1" defaultMemberUniqueName="[CLT_Vendas].[Categoria].[All]" allUniqueName="[CLT_Vendas].[Categoria].[All]" dimensionUniqueName="[CLT_Vendas]" displayFolder="" count="2" memberValueDatatype="130" unbalanced="0">
      <fieldsUsage count="2">
        <fieldUsage x="-1"/>
        <fieldUsage x="0"/>
      </fieldsUsage>
    </cacheHierarchy>
    <cacheHierarchy uniqueName="[CLT_Vendas].[Qtd]" caption="Qtd" attribute="1" defaultMemberUniqueName="[CLT_Vendas].[Qtd].[All]" allUniqueName="[CLT_Vendas].[Qtd].[All]" dimensionUniqueName="[CLT_Vendas]" displayFolder="" count="0" memberValueDatatype="20" unbalanced="0"/>
    <cacheHierarchy uniqueName="[CLT_Vendas].[Preço Unitário]" caption="Preço Unitário" attribute="1" defaultMemberUniqueName="[CLT_Vendas].[Preço Unitário].[All]" allUniqueName="[CLT_Vendas].[Preço Unitário].[All]" dimensionUniqueName="[CLT_Vendas]" displayFolder="" count="0" memberValueDatatype="5" unbalanced="0"/>
    <cacheHierarchy uniqueName="[CLT_Vendas].[Desconto Final]" caption="Desconto Final" attribute="1" defaultMemberUniqueName="[CLT_Vendas].[Desconto Final].[All]" allUniqueName="[CLT_Vendas].[Desconto Final].[All]" dimensionUniqueName="[CLT_Vendas]" displayFolder="" count="0" memberValueDatatype="5" unbalanced="0"/>
    <cacheHierarchy uniqueName="[CLT_Vendas].[Total]" caption="Total" attribute="1" defaultMemberUniqueName="[CLT_Vendas].[Total].[All]" allUniqueName="[CLT_Vendas].[Total].[All]" dimensionUniqueName="[CLT_Vendas]" displayFolder="" count="0" memberValueDatatype="5" unbalanced="0"/>
    <cacheHierarchy uniqueName="[CLT_Vendas].[Vendedor]" caption="Vendedor" attribute="1" defaultMemberUniqueName="[CLT_Vendas].[Vendedor].[All]" allUniqueName="[CLT_Vendas].[Vendedor].[All]" dimensionUniqueName="[CLT_Vendas]" displayFolder="" count="0" memberValueDatatype="130" unbalanced="0"/>
    <cacheHierarchy uniqueName="[CLT_Vendas].[Data (Ano)]" caption="Data (Ano)" attribute="1" defaultMemberUniqueName="[CLT_Vendas].[Data (Ano)].[All]" allUniqueName="[CLT_Vendas].[Data (Ano)].[All]" dimensionUniqueName="[CLT_Vendas]" displayFolder="" count="0" memberValueDatatype="130" unbalanced="0"/>
    <cacheHierarchy uniqueName="[CLT_Vendas].[Data (Trimestre)]" caption="Data (Trimestre)" attribute="1" defaultMemberUniqueName="[CLT_Vendas].[Data (Trimestre)].[All]" allUniqueName="[CLT_Vendas].[Data (Trimestre)].[All]" dimensionUniqueName="[CLT_Vendas]" displayFolder="" count="0" memberValueDatatype="130" unbalanced="0"/>
    <cacheHierarchy uniqueName="[CLT_Vendas].[Data (Mês)]" caption="Data (Mês)" attribute="1" defaultMemberUniqueName="[CLT_Vendas].[Data (Mês)].[All]" allUniqueName="[CLT_Vendas].[Data (Mês)].[All]" dimensionUniqueName="[CLT_Vendas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dade]" caption="Cidade" attribute="1" defaultMemberUniqueName="[TB_Vendedores].[Cidade].[All]" allUniqueName="[TB_Vendedores].[Cidade].[All]" dimensionUniqueName="[TB_Vendedores]" displayFolder="" count="0" memberValueDatatype="130" unbalanced="0"/>
    <cacheHierarchy uniqueName="[TB_Vendedores].[Desc. Máximo]" caption="Desc. Máximo" attribute="1" defaultMemberUniqueName="[TB_Vendedores].[Desc. Máximo].[All]" allUniqueName="[TB_Vendedores].[Desc. Máximo].[All]" dimensionUniqueName="[TB_Vendedores]" displayFolder="" count="0" memberValueDatatype="5" unbalanced="0"/>
    <cacheHierarchy uniqueName="[CLT_Vendas].[Data (Índice de Mês)]" caption="Data (Índice de Mês)" attribute="1" defaultMemberUniqueName="[CLT_Vendas].[Data (Índice de Mês)].[All]" allUniqueName="[CLT_Vendas].[Data (Índice de Mês)].[All]" dimensionUniqueName="[CLT_Vendas]" displayFolder="" count="0" memberValueDatatype="20" unbalanced="0" hidden="1"/>
    <cacheHierarchy uniqueName="[Measures].[Soma de Total]" caption="Soma de Total" measure="1" displayFolder="" measureGroup="CLT_Ven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Data (Trimestre)]" caption="Contagem de Data (Trimestre)" measure="1" displayFolder="" measureGroup="CLT_Venda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Data (Ano)]" caption="Contagem de Data (Ano)" measure="1" displayFolder="" measureGroup="CLT_Venda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-das-Vendas]" caption="Soma-das-Vendas" measure="1" displayFolder="" measureGroup="CLT_Vendas" count="0"/>
    <cacheHierarchy uniqueName="[Measures].[Totais-da-Soma]" caption="Totais-da-Soma" measure="1" displayFolder="" measureGroup="CLT_Vendas" count="0"/>
    <cacheHierarchy uniqueName="[Measures].[%Categorias]" caption="%Categorias" measure="1" displayFolder="" measureGroup="CLT_Vendas" count="0" oneField="1">
      <fieldsUsage count="1">
        <fieldUsage x="1"/>
      </fieldsUsage>
    </cacheHierarchy>
    <cacheHierarchy uniqueName="[Measures].[%Restante]" caption="%Restante" measure="1" displayFolder="" measureGroup="CLT_Vendas" count="0" oneField="1">
      <fieldsUsage count="1">
        <fieldUsage x="2"/>
      </fieldsUsage>
    </cacheHierarchy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TB_Vendedores]" caption="__XL_Count TB_Vendedores" measure="1" displayFolder="" measureGroup="TB_Vendedores" count="0" hidden="1"/>
    <cacheHierarchy uniqueName="[Measures].[__XL_Count CLT_Vendas]" caption="__XL_Count CLT_Vendas" measure="1" displayFolder="" measureGroup="CLT_Vendas" count="0" hidden="1"/>
    <cacheHierarchy uniqueName="[Measures].[__No measures defined]" caption="__No measures defined" measure="1" displayFolder="" count="0" hidden="1"/>
  </cacheHierarchies>
  <kpis count="0"/>
  <dimensions count="5">
    <dimension name="CLT_Vendas" uniqueName="[CLT_Vendas]" caption="CLT_Vendas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edores" uniqueName="[TB_Vendedores]" caption="TB_Vendedores"/>
  </dimensions>
  <measureGroups count="4">
    <measureGroup name="CLT_Vendas" caption="CLT_Vendas"/>
    <measureGroup name="TB_Produtos" caption="TB_Produtos"/>
    <measureGroup name="TB_Vendas" caption="TB_Vendas"/>
    <measureGroup name="TB_Vendedores" caption="TB_Vendedores"/>
  </measureGroups>
  <maps count="5">
    <map measureGroup="0" dimension="0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Oliveira" refreshedDate="45973.425143518522" backgroundQuery="1" createdVersion="8" refreshedVersion="8" minRefreshableVersion="3" recordCount="0" supportSubquery="1" supportAdvancedDrill="1" xr:uid="{1F2980FE-7EC2-490D-99B3-D03033561A0A}">
  <cacheSource type="external" connectionId="5"/>
  <cacheFields count="3">
    <cacheField name="[CLT_Vendas].[Data (Mês)].[Data (Mês)]" caption="Data (Mês)" numFmtId="0" hierarchy="10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Measures].[Soma de Total]" caption="Soma de Total" numFmtId="0" hierarchy="35" level="32767"/>
    <cacheField name="[CLT_Vendas].[Data (Ano)].[Data (Ano)]" caption="Data (Ano)" numFmtId="0" hierarchy="8" level="1">
      <sharedItems containsSemiMixedTypes="0" containsNonDate="0" containsString="0"/>
    </cacheField>
  </cacheFields>
  <cacheHierarchies count="47">
    <cacheHierarchy uniqueName="[CLT_Vendas].[Data]" caption="Data" attribute="1" time="1" defaultMemberUniqueName="[CLT_Vendas].[Data].[All]" allUniqueName="[CLT_Vendas].[Data].[All]" dimensionUniqueName="[CLT_Vendas]" displayFolder="" count="0" memberValueDatatype="7" unbalanced="0"/>
    <cacheHierarchy uniqueName="[CLT_Vendas].[Código]" caption="Código" attribute="1" defaultMemberUniqueName="[CLT_Vendas].[Código].[All]" allUniqueName="[CLT_Vendas].[Código].[All]" dimensionUniqueName="[CLT_Vendas]" displayFolder="" count="0" memberValueDatatype="130" unbalanced="0"/>
    <cacheHierarchy uniqueName="[CLT_Vendas].[Categoria]" caption="Categoria" attribute="1" defaultMemberUniqueName="[CLT_Vendas].[Categoria].[All]" allUniqueName="[CLT_Vendas].[Categoria].[All]" dimensionUniqueName="[CLT_Vendas]" displayFolder="" count="0" memberValueDatatype="130" unbalanced="0"/>
    <cacheHierarchy uniqueName="[CLT_Vendas].[Qtd]" caption="Qtd" attribute="1" defaultMemberUniqueName="[CLT_Vendas].[Qtd].[All]" allUniqueName="[CLT_Vendas].[Qtd].[All]" dimensionUniqueName="[CLT_Vendas]" displayFolder="" count="0" memberValueDatatype="20" unbalanced="0"/>
    <cacheHierarchy uniqueName="[CLT_Vendas].[Preço Unitário]" caption="Preço Unitário" attribute="1" defaultMemberUniqueName="[CLT_Vendas].[Preço Unitário].[All]" allUniqueName="[CLT_Vendas].[Preço Unitário].[All]" dimensionUniqueName="[CLT_Vendas]" displayFolder="" count="0" memberValueDatatype="5" unbalanced="0"/>
    <cacheHierarchy uniqueName="[CLT_Vendas].[Desconto Final]" caption="Desconto Final" attribute="1" defaultMemberUniqueName="[CLT_Vendas].[Desconto Final].[All]" allUniqueName="[CLT_Vendas].[Desconto Final].[All]" dimensionUniqueName="[CLT_Vendas]" displayFolder="" count="0" memberValueDatatype="5" unbalanced="0"/>
    <cacheHierarchy uniqueName="[CLT_Vendas].[Total]" caption="Total" attribute="1" defaultMemberUniqueName="[CLT_Vendas].[Total].[All]" allUniqueName="[CLT_Vendas].[Total].[All]" dimensionUniqueName="[CLT_Vendas]" displayFolder="" count="0" memberValueDatatype="5" unbalanced="0"/>
    <cacheHierarchy uniqueName="[CLT_Vendas].[Vendedor]" caption="Vendedor" attribute="1" defaultMemberUniqueName="[CLT_Vendas].[Vendedor].[All]" allUniqueName="[CLT_Vendas].[Vendedor].[All]" dimensionUniqueName="[CLT_Vendas]" displayFolder="" count="0" memberValueDatatype="130" unbalanced="0"/>
    <cacheHierarchy uniqueName="[CLT_Vendas].[Data (Ano)]" caption="Data (Ano)" attribute="1" defaultMemberUniqueName="[CLT_Vendas].[Data (Ano)].[All]" allUniqueName="[CLT_Vendas].[Data (Ano)].[All]" dimensionUniqueName="[CLT_Vendas]" displayFolder="" count="2" memberValueDatatype="130" unbalanced="0">
      <fieldsUsage count="2">
        <fieldUsage x="-1"/>
        <fieldUsage x="2"/>
      </fieldsUsage>
    </cacheHierarchy>
    <cacheHierarchy uniqueName="[CLT_Vendas].[Data (Trimestre)]" caption="Data (Trimestre)" attribute="1" defaultMemberUniqueName="[CLT_Vendas].[Data (Trimestre)].[All]" allUniqueName="[CLT_Vendas].[Data (Trimestre)].[All]" dimensionUniqueName="[CLT_Vendas]" displayFolder="" count="0" memberValueDatatype="130" unbalanced="0"/>
    <cacheHierarchy uniqueName="[CLT_Vendas].[Data (Mês)]" caption="Data (Mês)" attribute="1" defaultMemberUniqueName="[CLT_Vendas].[Data (Mês)].[All]" allUniqueName="[CLT_Vendas].[Data (Mês)].[All]" dimensionUniqueName="[CLT_Vendas]" displayFolder="" count="2" memberValueDatatype="130" unbalanced="0">
      <fieldsUsage count="2">
        <fieldUsage x="-1"/>
        <fieldUsage x="0"/>
      </fieldsUsage>
    </cacheHierarchy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2" memberValueDatatype="130" unbalanced="0"/>
    <cacheHierarchy uniqueName="[TB_Vendedores].[Cidade]" caption="Cidade" attribute="1" defaultMemberUniqueName="[TB_Vendedores].[Cidade].[All]" allUniqueName="[TB_Vendedores].[Cidade].[All]" dimensionUniqueName="[TB_Vendedores]" displayFolder="" count="0" memberValueDatatype="130" unbalanced="0"/>
    <cacheHierarchy uniqueName="[TB_Vendedores].[Desc. Máximo]" caption="Desc. Máximo" attribute="1" defaultMemberUniqueName="[TB_Vendedores].[Desc. Máximo].[All]" allUniqueName="[TB_Vendedores].[Desc. Máximo].[All]" dimensionUniqueName="[TB_Vendedores]" displayFolder="" count="0" memberValueDatatype="5" unbalanced="0"/>
    <cacheHierarchy uniqueName="[CLT_Vendas].[Data (Índice de Mês)]" caption="Data (Índice de Mês)" attribute="1" defaultMemberUniqueName="[CLT_Vendas].[Data (Índice de Mês)].[All]" allUniqueName="[CLT_Vendas].[Data (Índice de Mês)].[All]" dimensionUniqueName="[CLT_Vendas]" displayFolder="" count="0" memberValueDatatype="20" unbalanced="0" hidden="1"/>
    <cacheHierarchy uniqueName="[Measures].[Soma de Total]" caption="Soma de Total" measure="1" displayFolder="" measureGroup="CLT_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Data (Trimestre)]" caption="Contagem de Data (Trimestre)" measure="1" displayFolder="" measureGroup="CLT_Venda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Data (Ano)]" caption="Contagem de Data (Ano)" measure="1" displayFolder="" measureGroup="CLT_Venda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-das-Vendas]" caption="Soma-das-Vendas" measure="1" displayFolder="" measureGroup="CLT_Vendas" count="0"/>
    <cacheHierarchy uniqueName="[Measures].[Totais-da-Soma]" caption="Totais-da-Soma" measure="1" displayFolder="" measureGroup="CLT_Vendas" count="0"/>
    <cacheHierarchy uniqueName="[Measures].[%Categorias]" caption="%Categorias" measure="1" displayFolder="" measureGroup="CLT_Vendas" count="0"/>
    <cacheHierarchy uniqueName="[Measures].[%Restante]" caption="%Restante" measure="1" displayFolder="" measureGroup="CLT_Vendas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TB_Vendedores]" caption="__XL_Count TB_Vendedores" measure="1" displayFolder="" measureGroup="TB_Vendedores" count="0" hidden="1"/>
    <cacheHierarchy uniqueName="[Measures].[__XL_Count CLT_Vendas]" caption="__XL_Count CLT_Vendas" measure="1" displayFolder="" measureGroup="CLT_Vendas" count="0" hidden="1"/>
    <cacheHierarchy uniqueName="[Measures].[__No measures defined]" caption="__No measures defined" measure="1" displayFolder="" count="0" hidden="1"/>
  </cacheHierarchies>
  <kpis count="0"/>
  <dimensions count="5">
    <dimension name="CLT_Vendas" uniqueName="[CLT_Vendas]" caption="CLT_Vendas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edores" uniqueName="[TB_Vendedores]" caption="TB_Vendedores"/>
  </dimensions>
  <measureGroups count="4">
    <measureGroup name="CLT_Vendas" caption="CLT_Vendas"/>
    <measureGroup name="TB_Produtos" caption="TB_Produtos"/>
    <measureGroup name="TB_Vendas" caption="TB_Vendas"/>
    <measureGroup name="TB_Vendedores" caption="TB_Vendedores"/>
  </measureGroups>
  <maps count="5">
    <map measureGroup="0" dimension="0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r Oliveira" refreshedDate="45973.395547337961" backgroundQuery="1" createdVersion="3" refreshedVersion="8" minRefreshableVersion="3" recordCount="0" supportSubquery="1" supportAdvancedDrill="1" xr:uid="{496EE981-7136-49C4-9CBB-193E9C5F4D11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7">
    <cacheHierarchy uniqueName="[CLT_Vendas].[Data]" caption="Data" attribute="1" time="1" defaultMemberUniqueName="[CLT_Vendas].[Data].[All]" allUniqueName="[CLT_Vendas].[Data].[All]" dimensionUniqueName="[CLT_Vendas]" displayFolder="" count="0" memberValueDatatype="7" unbalanced="0"/>
    <cacheHierarchy uniqueName="[CLT_Vendas].[Código]" caption="Código" attribute="1" defaultMemberUniqueName="[CLT_Vendas].[Código].[All]" allUniqueName="[CLT_Vendas].[Código].[All]" dimensionUniqueName="[CLT_Vendas]" displayFolder="" count="0" memberValueDatatype="130" unbalanced="0"/>
    <cacheHierarchy uniqueName="[CLT_Vendas].[Categoria]" caption="Categoria" attribute="1" defaultMemberUniqueName="[CLT_Vendas].[Categoria].[All]" allUniqueName="[CLT_Vendas].[Categoria].[All]" dimensionUniqueName="[CLT_Vendas]" displayFolder="" count="0" memberValueDatatype="130" unbalanced="0"/>
    <cacheHierarchy uniqueName="[CLT_Vendas].[Qtd]" caption="Qtd" attribute="1" defaultMemberUniqueName="[CLT_Vendas].[Qtd].[All]" allUniqueName="[CLT_Vendas].[Qtd].[All]" dimensionUniqueName="[CLT_Vendas]" displayFolder="" count="0" memberValueDatatype="20" unbalanced="0"/>
    <cacheHierarchy uniqueName="[CLT_Vendas].[Preço Unitário]" caption="Preço Unitário" attribute="1" defaultMemberUniqueName="[CLT_Vendas].[Preço Unitário].[All]" allUniqueName="[CLT_Vendas].[Preço Unitário].[All]" dimensionUniqueName="[CLT_Vendas]" displayFolder="" count="0" memberValueDatatype="5" unbalanced="0"/>
    <cacheHierarchy uniqueName="[CLT_Vendas].[Desconto Final]" caption="Desconto Final" attribute="1" defaultMemberUniqueName="[CLT_Vendas].[Desconto Final].[All]" allUniqueName="[CLT_Vendas].[Desconto Final].[All]" dimensionUniqueName="[CLT_Vendas]" displayFolder="" count="0" memberValueDatatype="5" unbalanced="0"/>
    <cacheHierarchy uniqueName="[CLT_Vendas].[Total]" caption="Total" attribute="1" defaultMemberUniqueName="[CLT_Vendas].[Total].[All]" allUniqueName="[CLT_Vendas].[Total].[All]" dimensionUniqueName="[CLT_Vendas]" displayFolder="" count="0" memberValueDatatype="5" unbalanced="0"/>
    <cacheHierarchy uniqueName="[CLT_Vendas].[Vendedor]" caption="Vendedor" attribute="1" defaultMemberUniqueName="[CLT_Vendas].[Vendedor].[All]" allUniqueName="[CLT_Vendas].[Vendedor].[All]" dimensionUniqueName="[CLT_Vendas]" displayFolder="" count="0" memberValueDatatype="130" unbalanced="0"/>
    <cacheHierarchy uniqueName="[CLT_Vendas].[Data (Ano)]" caption="Data (Ano)" attribute="1" defaultMemberUniqueName="[CLT_Vendas].[Data (Ano)].[All]" allUniqueName="[CLT_Vendas].[Data (Ano)].[All]" dimensionUniqueName="[CLT_Vendas]" displayFolder="" count="2" memberValueDatatype="130" unbalanced="0"/>
    <cacheHierarchy uniqueName="[CLT_Vendas].[Data (Trimestre)]" caption="Data (Trimestre)" attribute="1" defaultMemberUniqueName="[CLT_Vendas].[Data (Trimestre)].[All]" allUniqueName="[CLT_Vendas].[Data (Trimestre)].[All]" dimensionUniqueName="[CLT_Vendas]" displayFolder="" count="0" memberValueDatatype="130" unbalanced="0"/>
    <cacheHierarchy uniqueName="[CLT_Vendas].[Data (Mês)]" caption="Data (Mês)" attribute="1" defaultMemberUniqueName="[CLT_Vendas].[Data (Mês)].[All]" allUniqueName="[CLT_Vendas].[Data (Mês)].[All]" dimensionUniqueName="[CLT_Vendas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2" memberValueDatatype="130" unbalanced="0"/>
    <cacheHierarchy uniqueName="[TB_Vendedores].[Cidade]" caption="Cidade" attribute="1" defaultMemberUniqueName="[TB_Vendedores].[Cidade].[All]" allUniqueName="[TB_Vendedores].[Cidade].[All]" dimensionUniqueName="[TB_Vendedores]" displayFolder="" count="0" memberValueDatatype="130" unbalanced="0"/>
    <cacheHierarchy uniqueName="[TB_Vendedores].[Desc. Máximo]" caption="Desc. Máximo" attribute="1" defaultMemberUniqueName="[TB_Vendedores].[Desc. Máximo].[All]" allUniqueName="[TB_Vendedores].[Desc. Máximo].[All]" dimensionUniqueName="[TB_Vendedores]" displayFolder="" count="0" memberValueDatatype="5" unbalanced="0"/>
    <cacheHierarchy uniqueName="[CLT_Vendas].[Data (Índice de Mês)]" caption="Data (Índice de Mês)" attribute="1" defaultMemberUniqueName="[CLT_Vendas].[Data (Índice de Mês)].[All]" allUniqueName="[CLT_Vendas].[Data (Índice de Mês)].[All]" dimensionUniqueName="[CLT_Vendas]" displayFolder="" count="0" memberValueDatatype="20" unbalanced="0" hidden="1"/>
    <cacheHierarchy uniqueName="[Measures].[Soma de Total]" caption="Soma de Total" measure="1" displayFolder="" measureGroup="CLT_Venda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agem de Data (Trimestre)]" caption="Contagem de Data (Trimestre)" measure="1" displayFolder="" measureGroup="CLT_Venda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ntagem de Data (Ano)]" caption="Contagem de Data (Ano)" measure="1" displayFolder="" measureGroup="CLT_Venda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-das-Vendas]" caption="Soma-das-Vendas" measure="1" displayFolder="" measureGroup="CLT_Vendas" count="0"/>
    <cacheHierarchy uniqueName="[Measures].[Totais-da-Soma]" caption="Totais-da-Soma" measure="1" displayFolder="" measureGroup="CLT_Vendas" count="0"/>
    <cacheHierarchy uniqueName="[Measures].[%Categorias]" caption="%Categorias" measure="1" displayFolder="" measureGroup="CLT_Vendas" count="0"/>
    <cacheHierarchy uniqueName="[Measures].[%Restante]" caption="%Restante" measure="1" displayFolder="" measureGroup="CLT_Vendas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TB_Vendedores]" caption="__XL_Count TB_Vendedores" measure="1" displayFolder="" measureGroup="TB_Vendedores" count="0" hidden="1"/>
    <cacheHierarchy uniqueName="[Measures].[__XL_Count CLT_Vendas]" caption="__XL_Count CLT_Vendas" measure="1" displayFolder="" measureGroup="CLT_Venda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5931628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B9B2C-1966-4AD7-B77A-A0B82F74E185}" name="TB_DN_Consulta" cacheId="201" applyNumberFormats="0" applyBorderFormats="0" applyFontFormats="0" applyPatternFormats="0" applyAlignmentFormats="0" applyWidthHeightFormats="1" dataCaption="Valores" tag="bf23c108-3429-412a-86aa-15e3dc4e03e4" updatedVersion="8" minRefreshableVersion="3" itemPrintTitles="1" createdVersion="8" indent="0" outline="1" outlineData="1" multipleFieldFilters="0">
  <location ref="K4:N8" firstHeaderRow="0" firstDataRow="1" firstDataCol="1"/>
  <pivotFields count="4">
    <pivotField name="Categorias"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name="Soma de Total" fld="3" baseField="0" baseItem="0" numFmtId="44"/>
  </dataFields>
  <formats count="13">
    <format dxfId="1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outline="0" fieldPosition="0">
        <references count="1">
          <reference field="4294967294" count="1">
            <x v="2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T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4FE2C-C93E-42AD-9A23-5B57FD5710A7}" name="Tabela dinâmica4" cacheId="198" applyNumberFormats="0" applyBorderFormats="0" applyFontFormats="0" applyPatternFormats="0" applyAlignmentFormats="0" applyWidthHeightFormats="1" dataCaption="Valores" tag="def5fdbb-2672-483a-b43f-bdaec8be0df4" updatedVersion="8" minRefreshableVersion="3" useAutoFormatting="1" itemPrintTitles="1" createdVersion="8" indent="0" outline="1" outlineData="1" multipleFieldFilters="0">
  <location ref="G4:H5" firstHeaderRow="1" firstDataRow="2" firstDataCol="0"/>
  <pivotFields count="1">
    <pivotField axis="axisCol" allDrilled="1" subtotalTop="0" showAll="0" dataSourceSort="1" defaultSubtotal="0" defaultAttributeDrillState="1">
      <items count="1">
        <item s="1" x="0"/>
      </items>
    </pivotField>
  </pivotFields>
  <colFields count="1">
    <field x="0"/>
  </colFields>
  <colItems count="2">
    <i>
      <x/>
    </i>
    <i t="grand">
      <x/>
    </i>
  </colItem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T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4DCA5-6BD6-4A13-95E1-64154FE231C5}" name="Tabela dinâmica3" cacheId="171" applyNumberFormats="0" applyBorderFormats="0" applyFontFormats="0" applyPatternFormats="0" applyAlignmentFormats="0" applyWidthHeightFormats="1" dataCaption="Valores" tag="4079c7c6-f57d-4af8-b7d9-23863cba5d34" updatedVersion="8" minRefreshableVersion="3" useAutoFormatting="1" itemPrintTitles="1" createdVersion="8" indent="0" outline="1" outlineData="1" multipleFieldFilters="0" chartFormat="10">
  <location ref="D3:E9" firstHeaderRow="1" firstDataRow="1" firstDataCol="1"/>
  <pivotFields count="2">
    <pivotField dataField="1" subtotalTop="0" showAll="0" defaultSubtotal="0"/>
    <pivotField name="Vendedores"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oma de Total" fld="0" baseField="1" baseItem="1" numFmtId="44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5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T_Vendas]"/>
        <x15:activeTabTopLevelEntity name="[TB_Vended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84453-2EC5-4F08-8C72-7ADC48C72868}" name="Tabela dinâmica2" cacheId="255" applyNumberFormats="0" applyBorderFormats="0" applyFontFormats="0" applyPatternFormats="0" applyAlignmentFormats="0" applyWidthHeightFormats="1" dataCaption="Valores" tag="0ab0aea5-f1b3-4fad-9e85-d6b725ed2717" updatedVersion="8" minRefreshableVersion="3" useAutoFormatting="1" itemPrintTitles="1" createdVersion="8" indent="0" outline="1" outlineData="1" multipleFieldFilters="0" chartFormat="16">
  <location ref="A3:B16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Total" fld="1" baseField="0" baseItem="0" numFmtId="44"/>
  </dataFields>
  <chartFormats count="1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1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s]"/>
        <x15:activeTabTopLevelEntity name="[CLT_Vendas]"/>
        <x15:activeTabTopLevelEntity name="[TB_Produtos]"/>
        <x15:activeTabTopLevelEntity name="[TB_Vended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265F9EC3-BC3D-4DA9-8FB7-4100574F2832}" autoFormatId="16" applyNumberFormats="0" applyBorderFormats="0" applyFontFormats="0" applyPatternFormats="0" applyAlignmentFormats="0" applyWidthHeightFormats="0">
  <queryTableRefresh nextId="9">
    <queryTableFields count="8">
      <queryTableField id="1" name="Data" tableColumnId="1"/>
      <queryTableField id="2" name="Código" tableColumnId="2"/>
      <queryTableField id="3" name="Categoria" tableColumnId="3"/>
      <queryTableField id="4" name="Qtd" tableColumnId="4"/>
      <queryTableField id="5" name="Preço Unitário" tableColumnId="5"/>
      <queryTableField id="6" name="Desconto Final" tableColumnId="6"/>
      <queryTableField id="7" name="Total" tableColumnId="7"/>
      <queryTableField id="8" name="Vendedor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Ano" xr10:uid="{03B21154-67E9-477A-A8F4-81D0FBBF66A2}" sourceName="[CLT_Vendas].[Data (Ano)]">
  <pivotTables>
    <pivotTable tabId="45" name="Tabela dinâmica2"/>
  </pivotTables>
  <data>
    <olap pivotCacheId="59316280">
      <levels count="2">
        <level uniqueName="[CLT_Vendas].[Data (Ano)].[(All)]" sourceCaption="(All)" count="0"/>
        <level uniqueName="[CLT_Vendas].[Data (Ano)].[Data (Ano)]" sourceCaption="Data (Ano)" count="2">
          <ranges>
            <range startItem="0">
              <i n="[CLT_Vendas].[Data (Ano)].&amp;[2021]" c="2021"/>
              <i n="[CLT_Vendas].[Data (Ano)].&amp;[2022]" c="2022"/>
            </range>
          </ranges>
        </level>
      </levels>
      <selections count="1">
        <selection n="[CLT_Vendas].[Data (Ano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075270C0-422A-4207-A86D-F450FD29187B}" sourceName="[TB_Vendedores].[Vendedor]">
  <pivotTables>
    <pivotTable tabId="45" name="Tabela dinâmica2"/>
  </pivotTables>
  <data>
    <olap pivotCacheId="59316280">
      <levels count="2">
        <level uniqueName="[TB_Vendedores].[Vendedor].[(All)]" sourceCaption="(All)" count="0"/>
        <level uniqueName="[TB_Vendedores].[Vendedor].[Vendedor]" sourceCaption="Vendedor" count="5">
          <ranges>
            <range startItem="0">
              <i n="[TB_Vendedores].[Vendedor].&amp;[Amanda]" c="Amanda"/>
              <i n="[TB_Vendedores].[Vendedor].&amp;[Bruno]" c="Bruno"/>
              <i n="[TB_Vendedores].[Vendedor].&amp;[Clara]" c="Clara"/>
              <i n="[TB_Vendedores].[Vendedor].&amp;[João]" c="João"/>
              <i n="[TB_Vendedores].[Vendedor].&amp;[Sarah]" c="Sarah"/>
            </range>
          </ranges>
        </level>
      </levels>
      <selections count="1">
        <selection n="[TB_Vendedores].[Vendedor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(Ano)" xr10:uid="{8BB8F947-5839-47B0-A9AA-28A8D403BD7D}" cache="SegmentaçãodeDados_Data__Ano" caption="Ano" level="1" style="SlicerStyleOther2" rowHeight="234950"/>
  <slicer name="Vendedor" xr10:uid="{1D0625F2-928E-4532-8F85-912A8A0EB2F2}" cache="SegmentaçãodeDados_Vendedor" caption="Vendedores" columnCount="3" level="1" style="SlicerStyleOther2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6ADFE9-6691-4A27-9BFA-675DA24A01F1}" name="CLT_Vendas" displayName="CLT_Vendas" ref="A1:H253" tableType="queryTable" totalsRowShown="0" headerRowDxfId="22" dataDxfId="21">
  <autoFilter ref="A1:H253" xr:uid="{8D6ADFE9-6691-4A27-9BFA-675DA24A01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EBCFEB5-71B5-4F52-8EC5-29A1ECFCC592}" uniqueName="1" name="Data" queryTableFieldId="1" dataDxfId="20"/>
    <tableColumn id="2" xr3:uid="{DEFB1994-83AC-4032-BB80-2A2FBB584309}" uniqueName="2" name="Código" queryTableFieldId="2" dataDxfId="19"/>
    <tableColumn id="3" xr3:uid="{3D14F874-2103-44D7-B1AF-B5AE9E1E963A}" uniqueName="3" name="Categoria" queryTableFieldId="3" dataDxfId="18"/>
    <tableColumn id="4" xr3:uid="{1B3AD46F-1AC4-429C-84FA-8B7CE6C5628C}" uniqueName="4" name="Qtd" queryTableFieldId="4" dataDxfId="17"/>
    <tableColumn id="5" xr3:uid="{ABC9305E-B0E1-45E1-B6F5-A143EECD016E}" uniqueName="5" name="Preço Unitário" queryTableFieldId="5" dataDxfId="16"/>
    <tableColumn id="6" xr3:uid="{31351ACC-71B1-40F2-B1A6-A4D8FFBAA3B2}" uniqueName="6" name="Desconto Final" queryTableFieldId="6" dataDxfId="15"/>
    <tableColumn id="7" xr3:uid="{9BC723CF-6456-4688-9EBC-72A9312A204C}" uniqueName="7" name="Total" queryTableFieldId="7" dataDxfId="14"/>
    <tableColumn id="8" xr3:uid="{12BB176F-06AC-4332-8DF8-BC17C37C6D04}" uniqueName="8" name="Vendedor" queryTableFieldId="8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C0C3-9356-4496-BD2B-E93F64697C6A}">
  <dimension ref="A1:H253"/>
  <sheetViews>
    <sheetView workbookViewId="0">
      <selection activeCell="D19" sqref="D19"/>
    </sheetView>
  </sheetViews>
  <sheetFormatPr defaultRowHeight="14.4"/>
  <cols>
    <col min="1" max="8" width="16.21875" style="29" customWidth="1"/>
  </cols>
  <sheetData>
    <row r="1" spans="1:8">
      <c r="A1" s="28" t="s">
        <v>48</v>
      </c>
      <c r="B1" s="28" t="s">
        <v>7</v>
      </c>
      <c r="C1" s="28" t="s">
        <v>0</v>
      </c>
      <c r="D1" s="28" t="s">
        <v>5</v>
      </c>
      <c r="E1" s="28" t="s">
        <v>1</v>
      </c>
      <c r="F1" s="28" t="s">
        <v>89</v>
      </c>
      <c r="G1" s="28" t="s">
        <v>6</v>
      </c>
      <c r="H1" s="28" t="s">
        <v>47</v>
      </c>
    </row>
    <row r="2" spans="1:8">
      <c r="A2" s="30">
        <v>44566</v>
      </c>
      <c r="B2" s="31" t="s">
        <v>38</v>
      </c>
      <c r="C2" s="31" t="s">
        <v>4</v>
      </c>
      <c r="D2" s="29">
        <v>2</v>
      </c>
      <c r="E2" s="29">
        <v>245</v>
      </c>
      <c r="F2" s="29">
        <v>0.1</v>
      </c>
      <c r="G2" s="29">
        <v>490</v>
      </c>
      <c r="H2" s="31" t="s">
        <v>76</v>
      </c>
    </row>
    <row r="3" spans="1:8">
      <c r="A3" s="30">
        <v>44567</v>
      </c>
      <c r="B3" s="31" t="s">
        <v>36</v>
      </c>
      <c r="C3" s="31" t="s">
        <v>4</v>
      </c>
      <c r="D3" s="29">
        <v>10</v>
      </c>
      <c r="E3" s="29">
        <v>255</v>
      </c>
      <c r="F3" s="29">
        <v>0.15</v>
      </c>
      <c r="G3" s="29">
        <v>2550</v>
      </c>
      <c r="H3" s="31" t="s">
        <v>77</v>
      </c>
    </row>
    <row r="4" spans="1:8">
      <c r="A4" s="30">
        <v>44568</v>
      </c>
      <c r="B4" s="31" t="s">
        <v>60</v>
      </c>
      <c r="C4" s="31" t="s">
        <v>2</v>
      </c>
      <c r="D4" s="29">
        <v>11</v>
      </c>
      <c r="E4" s="29">
        <v>289.89999999999998</v>
      </c>
      <c r="F4" s="29">
        <v>0.1</v>
      </c>
      <c r="G4" s="29">
        <v>3188.9</v>
      </c>
      <c r="H4" s="31" t="s">
        <v>75</v>
      </c>
    </row>
    <row r="5" spans="1:8">
      <c r="A5" s="30">
        <v>44573</v>
      </c>
      <c r="B5" s="31" t="s">
        <v>70</v>
      </c>
      <c r="C5" s="31" t="s">
        <v>2</v>
      </c>
      <c r="D5" s="29">
        <v>11</v>
      </c>
      <c r="E5" s="29">
        <v>180</v>
      </c>
      <c r="F5" s="29">
        <v>0.2</v>
      </c>
      <c r="G5" s="29">
        <v>1980</v>
      </c>
      <c r="H5" s="31" t="s">
        <v>73</v>
      </c>
    </row>
    <row r="6" spans="1:8">
      <c r="A6" s="30">
        <v>44574</v>
      </c>
      <c r="B6" s="31" t="s">
        <v>72</v>
      </c>
      <c r="C6" s="31" t="s">
        <v>2</v>
      </c>
      <c r="D6" s="29">
        <v>10</v>
      </c>
      <c r="E6" s="29">
        <v>180</v>
      </c>
      <c r="F6" s="29">
        <v>0.1</v>
      </c>
      <c r="G6" s="29">
        <v>1800</v>
      </c>
      <c r="H6" s="31" t="s">
        <v>75</v>
      </c>
    </row>
    <row r="7" spans="1:8">
      <c r="A7" s="30">
        <v>44578</v>
      </c>
      <c r="B7" s="31" t="s">
        <v>10</v>
      </c>
      <c r="C7" s="31" t="s">
        <v>2</v>
      </c>
      <c r="D7" s="29">
        <v>8</v>
      </c>
      <c r="E7" s="29">
        <v>70.900000000000006</v>
      </c>
      <c r="F7" s="29">
        <v>0.15</v>
      </c>
      <c r="G7" s="29">
        <v>567.20000000000005</v>
      </c>
      <c r="H7" s="31" t="s">
        <v>74</v>
      </c>
    </row>
    <row r="8" spans="1:8">
      <c r="A8" s="30">
        <v>44584</v>
      </c>
      <c r="B8" s="31" t="s">
        <v>36</v>
      </c>
      <c r="C8" s="31" t="s">
        <v>4</v>
      </c>
      <c r="D8" s="29">
        <v>2</v>
      </c>
      <c r="E8" s="29">
        <v>255</v>
      </c>
      <c r="F8" s="29">
        <v>0.1</v>
      </c>
      <c r="G8" s="29">
        <v>510</v>
      </c>
      <c r="H8" s="31" t="s">
        <v>76</v>
      </c>
    </row>
    <row r="9" spans="1:8">
      <c r="A9" s="30">
        <v>44587</v>
      </c>
      <c r="B9" s="31" t="s">
        <v>56</v>
      </c>
      <c r="C9" s="31" t="s">
        <v>2</v>
      </c>
      <c r="D9" s="29">
        <v>2</v>
      </c>
      <c r="E9" s="29">
        <v>72.5</v>
      </c>
      <c r="F9" s="29">
        <v>0.15</v>
      </c>
      <c r="G9" s="29">
        <v>145</v>
      </c>
      <c r="H9" s="31" t="s">
        <v>77</v>
      </c>
    </row>
    <row r="10" spans="1:8">
      <c r="A10" s="30">
        <v>44589</v>
      </c>
      <c r="B10" s="31" t="s">
        <v>58</v>
      </c>
      <c r="C10" s="31" t="s">
        <v>2</v>
      </c>
      <c r="D10" s="29">
        <v>12</v>
      </c>
      <c r="E10" s="29">
        <v>289.89999999999998</v>
      </c>
      <c r="F10" s="29">
        <v>0.2</v>
      </c>
      <c r="G10" s="29">
        <v>3478.8</v>
      </c>
      <c r="H10" s="31" t="s">
        <v>76</v>
      </c>
    </row>
    <row r="11" spans="1:8">
      <c r="A11" s="30">
        <v>44590</v>
      </c>
      <c r="B11" s="31" t="s">
        <v>58</v>
      </c>
      <c r="C11" s="31" t="s">
        <v>2</v>
      </c>
      <c r="D11" s="29">
        <v>1</v>
      </c>
      <c r="E11" s="29">
        <v>289.89999999999998</v>
      </c>
      <c r="F11" s="29">
        <v>0.1</v>
      </c>
      <c r="G11" s="29">
        <v>289.89999999999998</v>
      </c>
      <c r="H11" s="31" t="s">
        <v>77</v>
      </c>
    </row>
    <row r="12" spans="1:8">
      <c r="A12" s="30">
        <v>44591</v>
      </c>
      <c r="B12" s="31" t="s">
        <v>71</v>
      </c>
      <c r="C12" s="31" t="s">
        <v>2</v>
      </c>
      <c r="D12" s="29">
        <v>11</v>
      </c>
      <c r="E12" s="29">
        <v>180</v>
      </c>
      <c r="F12" s="29">
        <v>0.2</v>
      </c>
      <c r="G12" s="29">
        <v>1980</v>
      </c>
      <c r="H12" s="31" t="s">
        <v>73</v>
      </c>
    </row>
    <row r="13" spans="1:8">
      <c r="A13" s="30">
        <v>44595</v>
      </c>
      <c r="B13" s="31" t="s">
        <v>10</v>
      </c>
      <c r="C13" s="31" t="s">
        <v>2</v>
      </c>
      <c r="D13" s="29">
        <v>2</v>
      </c>
      <c r="E13" s="29">
        <v>70.900000000000006</v>
      </c>
      <c r="F13" s="29">
        <v>0.15</v>
      </c>
      <c r="G13" s="29">
        <v>141.80000000000001</v>
      </c>
      <c r="H13" s="31" t="s">
        <v>73</v>
      </c>
    </row>
    <row r="14" spans="1:8">
      <c r="A14" s="30">
        <v>44597</v>
      </c>
      <c r="B14" s="31" t="s">
        <v>34</v>
      </c>
      <c r="C14" s="31" t="s">
        <v>3</v>
      </c>
      <c r="D14" s="29">
        <v>7</v>
      </c>
      <c r="E14" s="29">
        <v>120</v>
      </c>
      <c r="F14" s="29">
        <v>0.2</v>
      </c>
      <c r="G14" s="29">
        <v>840</v>
      </c>
      <c r="H14" s="31" t="s">
        <v>76</v>
      </c>
    </row>
    <row r="15" spans="1:8">
      <c r="A15" s="30">
        <v>44610</v>
      </c>
      <c r="B15" s="31" t="s">
        <v>30</v>
      </c>
      <c r="C15" s="31" t="s">
        <v>2</v>
      </c>
      <c r="D15" s="29">
        <v>4</v>
      </c>
      <c r="E15" s="29">
        <v>249.9</v>
      </c>
      <c r="F15" s="29">
        <v>0.2</v>
      </c>
      <c r="G15" s="29">
        <v>999.6</v>
      </c>
      <c r="H15" s="31" t="s">
        <v>73</v>
      </c>
    </row>
    <row r="16" spans="1:8">
      <c r="A16" s="30">
        <v>44613</v>
      </c>
      <c r="B16" s="31" t="s">
        <v>21</v>
      </c>
      <c r="C16" s="31" t="s">
        <v>2</v>
      </c>
      <c r="D16" s="29">
        <v>4</v>
      </c>
      <c r="E16" s="29">
        <v>39.9</v>
      </c>
      <c r="F16" s="29">
        <v>0.1</v>
      </c>
      <c r="G16" s="29">
        <v>159.6</v>
      </c>
      <c r="H16" s="31" t="s">
        <v>75</v>
      </c>
    </row>
    <row r="17" spans="1:8">
      <c r="A17" s="30">
        <v>44616</v>
      </c>
      <c r="B17" s="31" t="s">
        <v>52</v>
      </c>
      <c r="C17" s="31" t="s">
        <v>2</v>
      </c>
      <c r="D17" s="29">
        <v>10</v>
      </c>
      <c r="E17" s="29">
        <v>70</v>
      </c>
      <c r="F17" s="29">
        <v>0.15</v>
      </c>
      <c r="G17" s="29">
        <v>700</v>
      </c>
      <c r="H17" s="31" t="s">
        <v>77</v>
      </c>
    </row>
    <row r="18" spans="1:8">
      <c r="A18" s="30">
        <v>44617</v>
      </c>
      <c r="B18" s="31" t="s">
        <v>16</v>
      </c>
      <c r="C18" s="31" t="s">
        <v>2</v>
      </c>
      <c r="D18" s="29">
        <v>5</v>
      </c>
      <c r="E18" s="29">
        <v>92.9</v>
      </c>
      <c r="F18" s="29">
        <v>0.15</v>
      </c>
      <c r="G18" s="29">
        <v>464.5</v>
      </c>
      <c r="H18" s="31" t="s">
        <v>77</v>
      </c>
    </row>
    <row r="19" spans="1:8">
      <c r="A19" s="30">
        <v>44618</v>
      </c>
      <c r="B19" s="31" t="s">
        <v>29</v>
      </c>
      <c r="C19" s="31" t="s">
        <v>2</v>
      </c>
      <c r="D19" s="29">
        <v>2</v>
      </c>
      <c r="E19" s="29">
        <v>300</v>
      </c>
      <c r="F19" s="29">
        <v>0.15</v>
      </c>
      <c r="G19" s="29">
        <v>600</v>
      </c>
      <c r="H19" s="31" t="s">
        <v>73</v>
      </c>
    </row>
    <row r="20" spans="1:8">
      <c r="A20" s="30">
        <v>44621</v>
      </c>
      <c r="B20" s="31" t="s">
        <v>8</v>
      </c>
      <c r="C20" s="31" t="s">
        <v>2</v>
      </c>
      <c r="D20" s="29">
        <v>5</v>
      </c>
      <c r="E20" s="29">
        <v>65.900000000000006</v>
      </c>
      <c r="F20" s="29">
        <v>0.2</v>
      </c>
      <c r="G20" s="29">
        <v>329.5</v>
      </c>
      <c r="H20" s="31" t="s">
        <v>73</v>
      </c>
    </row>
    <row r="21" spans="1:8">
      <c r="A21" s="30">
        <v>44621</v>
      </c>
      <c r="B21" s="31" t="s">
        <v>20</v>
      </c>
      <c r="C21" s="31" t="s">
        <v>2</v>
      </c>
      <c r="D21" s="29">
        <v>3</v>
      </c>
      <c r="E21" s="29">
        <v>39.9</v>
      </c>
      <c r="F21" s="29">
        <v>0.2</v>
      </c>
      <c r="G21" s="29">
        <v>119.7</v>
      </c>
      <c r="H21" s="31" t="s">
        <v>76</v>
      </c>
    </row>
    <row r="22" spans="1:8">
      <c r="A22" s="30">
        <v>44622</v>
      </c>
      <c r="B22" s="31" t="s">
        <v>20</v>
      </c>
      <c r="C22" s="31" t="s">
        <v>2</v>
      </c>
      <c r="D22" s="29">
        <v>1</v>
      </c>
      <c r="E22" s="29">
        <v>39.9</v>
      </c>
      <c r="F22" s="29">
        <v>0.1</v>
      </c>
      <c r="G22" s="29">
        <v>39.9</v>
      </c>
      <c r="H22" s="31" t="s">
        <v>76</v>
      </c>
    </row>
    <row r="23" spans="1:8">
      <c r="A23" s="30">
        <v>44623</v>
      </c>
      <c r="B23" s="31" t="s">
        <v>14</v>
      </c>
      <c r="C23" s="31" t="s">
        <v>2</v>
      </c>
      <c r="D23" s="29">
        <v>12</v>
      </c>
      <c r="E23" s="29">
        <v>85.9</v>
      </c>
      <c r="F23" s="29">
        <v>0.15</v>
      </c>
      <c r="G23" s="29">
        <v>1030.8</v>
      </c>
      <c r="H23" s="31" t="s">
        <v>74</v>
      </c>
    </row>
    <row r="24" spans="1:8">
      <c r="A24" s="30">
        <v>44624</v>
      </c>
      <c r="B24" s="31" t="s">
        <v>63</v>
      </c>
      <c r="C24" s="31" t="s">
        <v>2</v>
      </c>
      <c r="D24" s="29">
        <v>5</v>
      </c>
      <c r="E24" s="29">
        <v>32.9</v>
      </c>
      <c r="F24" s="29">
        <v>0.2</v>
      </c>
      <c r="G24" s="29">
        <v>164.5</v>
      </c>
      <c r="H24" s="31" t="s">
        <v>73</v>
      </c>
    </row>
    <row r="25" spans="1:8">
      <c r="A25" s="30">
        <v>44629</v>
      </c>
      <c r="B25" s="31" t="s">
        <v>53</v>
      </c>
      <c r="C25" s="31" t="s">
        <v>2</v>
      </c>
      <c r="D25" s="29">
        <v>11</v>
      </c>
      <c r="E25" s="29">
        <v>54.9</v>
      </c>
      <c r="F25" s="29">
        <v>0.2</v>
      </c>
      <c r="G25" s="29">
        <v>603.9</v>
      </c>
      <c r="H25" s="31" t="s">
        <v>73</v>
      </c>
    </row>
    <row r="26" spans="1:8">
      <c r="A26" s="30">
        <v>44634</v>
      </c>
      <c r="B26" s="31" t="s">
        <v>22</v>
      </c>
      <c r="C26" s="31" t="s">
        <v>2</v>
      </c>
      <c r="D26" s="29">
        <v>3</v>
      </c>
      <c r="E26" s="29">
        <v>42.5</v>
      </c>
      <c r="F26" s="29">
        <v>0.2</v>
      </c>
      <c r="G26" s="29">
        <v>127.5</v>
      </c>
      <c r="H26" s="31" t="s">
        <v>73</v>
      </c>
    </row>
    <row r="27" spans="1:8">
      <c r="A27" s="30">
        <v>44639</v>
      </c>
      <c r="B27" s="31" t="s">
        <v>41</v>
      </c>
      <c r="C27" s="31" t="s">
        <v>2</v>
      </c>
      <c r="D27" s="29">
        <v>8</v>
      </c>
      <c r="E27" s="29">
        <v>89.9</v>
      </c>
      <c r="F27" s="29">
        <v>0.2</v>
      </c>
      <c r="G27" s="29">
        <v>719.2</v>
      </c>
      <c r="H27" s="31" t="s">
        <v>76</v>
      </c>
    </row>
    <row r="28" spans="1:8">
      <c r="A28" s="30">
        <v>44641</v>
      </c>
      <c r="B28" s="31" t="s">
        <v>40</v>
      </c>
      <c r="C28" s="31" t="s">
        <v>4</v>
      </c>
      <c r="D28" s="29">
        <v>1</v>
      </c>
      <c r="E28" s="29">
        <v>259.89999999999998</v>
      </c>
      <c r="F28" s="29">
        <v>0</v>
      </c>
      <c r="G28" s="29">
        <v>259.89999999999998</v>
      </c>
      <c r="H28" s="31" t="s">
        <v>76</v>
      </c>
    </row>
    <row r="29" spans="1:8">
      <c r="A29" s="30">
        <v>44645</v>
      </c>
      <c r="B29" s="31" t="s">
        <v>25</v>
      </c>
      <c r="C29" s="31" t="s">
        <v>2</v>
      </c>
      <c r="D29" s="29">
        <v>11</v>
      </c>
      <c r="E29" s="29">
        <v>32.9</v>
      </c>
      <c r="F29" s="29">
        <v>0.15</v>
      </c>
      <c r="G29" s="29">
        <v>361.9</v>
      </c>
      <c r="H29" s="31" t="s">
        <v>77</v>
      </c>
    </row>
    <row r="30" spans="1:8">
      <c r="A30" s="30">
        <v>44653</v>
      </c>
      <c r="B30" s="31" t="s">
        <v>26</v>
      </c>
      <c r="C30" s="31" t="s">
        <v>3</v>
      </c>
      <c r="D30" s="29">
        <v>8</v>
      </c>
      <c r="E30" s="29">
        <v>49.9</v>
      </c>
      <c r="F30" s="29">
        <v>0.15</v>
      </c>
      <c r="G30" s="29">
        <v>399.2</v>
      </c>
      <c r="H30" s="31" t="s">
        <v>74</v>
      </c>
    </row>
    <row r="31" spans="1:8">
      <c r="A31" s="30">
        <v>44655</v>
      </c>
      <c r="B31" s="31" t="s">
        <v>12</v>
      </c>
      <c r="C31" s="31" t="s">
        <v>3</v>
      </c>
      <c r="D31" s="29">
        <v>4</v>
      </c>
      <c r="E31" s="29">
        <v>259.89999999999998</v>
      </c>
      <c r="F31" s="29">
        <v>0.1</v>
      </c>
      <c r="G31" s="29">
        <v>1039.5999999999999</v>
      </c>
      <c r="H31" s="31" t="s">
        <v>75</v>
      </c>
    </row>
    <row r="32" spans="1:8">
      <c r="A32" s="30">
        <v>44659</v>
      </c>
      <c r="B32" s="31" t="s">
        <v>33</v>
      </c>
      <c r="C32" s="31" t="s">
        <v>3</v>
      </c>
      <c r="D32" s="29">
        <v>1</v>
      </c>
      <c r="E32" s="29">
        <v>349.9</v>
      </c>
      <c r="F32" s="29">
        <v>0</v>
      </c>
      <c r="G32" s="29">
        <v>349.9</v>
      </c>
      <c r="H32" s="31" t="s">
        <v>74</v>
      </c>
    </row>
    <row r="33" spans="1:8">
      <c r="A33" s="30">
        <v>44662</v>
      </c>
      <c r="B33" s="31" t="s">
        <v>66</v>
      </c>
      <c r="C33" s="31" t="s">
        <v>2</v>
      </c>
      <c r="D33" s="29">
        <v>7</v>
      </c>
      <c r="E33" s="29">
        <v>49.9</v>
      </c>
      <c r="F33" s="29">
        <v>0.2</v>
      </c>
      <c r="G33" s="29">
        <v>349.3</v>
      </c>
      <c r="H33" s="31" t="s">
        <v>76</v>
      </c>
    </row>
    <row r="34" spans="1:8">
      <c r="A34" s="30">
        <v>44663</v>
      </c>
      <c r="B34" s="31" t="s">
        <v>52</v>
      </c>
      <c r="C34" s="31" t="s">
        <v>2</v>
      </c>
      <c r="D34" s="29">
        <v>11</v>
      </c>
      <c r="E34" s="29">
        <v>70</v>
      </c>
      <c r="F34" s="29">
        <v>0.2</v>
      </c>
      <c r="G34" s="29">
        <v>770</v>
      </c>
      <c r="H34" s="31" t="s">
        <v>76</v>
      </c>
    </row>
    <row r="35" spans="1:8">
      <c r="A35" s="30">
        <v>44664</v>
      </c>
      <c r="B35" s="31" t="s">
        <v>46</v>
      </c>
      <c r="C35" s="31" t="s">
        <v>2</v>
      </c>
      <c r="D35" s="29">
        <v>3</v>
      </c>
      <c r="E35" s="29">
        <v>146</v>
      </c>
      <c r="F35" s="29">
        <v>0.15</v>
      </c>
      <c r="G35" s="29">
        <v>438</v>
      </c>
      <c r="H35" s="31" t="s">
        <v>77</v>
      </c>
    </row>
    <row r="36" spans="1:8">
      <c r="A36" s="30">
        <v>44666</v>
      </c>
      <c r="B36" s="31" t="s">
        <v>67</v>
      </c>
      <c r="C36" s="31" t="s">
        <v>4</v>
      </c>
      <c r="D36" s="29">
        <v>8</v>
      </c>
      <c r="E36" s="29">
        <v>89.9</v>
      </c>
      <c r="F36" s="29">
        <v>0.15</v>
      </c>
      <c r="G36" s="29">
        <v>719.2</v>
      </c>
      <c r="H36" s="31" t="s">
        <v>77</v>
      </c>
    </row>
    <row r="37" spans="1:8">
      <c r="A37" s="30">
        <v>44673</v>
      </c>
      <c r="B37" s="31" t="s">
        <v>34</v>
      </c>
      <c r="C37" s="31" t="s">
        <v>3</v>
      </c>
      <c r="D37" s="29">
        <v>9</v>
      </c>
      <c r="E37" s="29">
        <v>120</v>
      </c>
      <c r="F37" s="29">
        <v>0.15</v>
      </c>
      <c r="G37" s="29">
        <v>1080</v>
      </c>
      <c r="H37" s="31" t="s">
        <v>74</v>
      </c>
    </row>
    <row r="38" spans="1:8">
      <c r="A38" s="30">
        <v>44674</v>
      </c>
      <c r="B38" s="31" t="s">
        <v>37</v>
      </c>
      <c r="C38" s="31" t="s">
        <v>4</v>
      </c>
      <c r="D38" s="29">
        <v>3</v>
      </c>
      <c r="E38" s="29">
        <v>259.89999999999998</v>
      </c>
      <c r="F38" s="29">
        <v>0.1</v>
      </c>
      <c r="G38" s="29">
        <v>779.7</v>
      </c>
      <c r="H38" s="31" t="s">
        <v>75</v>
      </c>
    </row>
    <row r="39" spans="1:8">
      <c r="A39" s="30">
        <v>44677</v>
      </c>
      <c r="B39" s="31" t="s">
        <v>27</v>
      </c>
      <c r="C39" s="31" t="s">
        <v>2</v>
      </c>
      <c r="D39" s="29">
        <v>6</v>
      </c>
      <c r="E39" s="29">
        <v>299.89999999999998</v>
      </c>
      <c r="F39" s="29">
        <v>0.1</v>
      </c>
      <c r="G39" s="29">
        <v>1799.4</v>
      </c>
      <c r="H39" s="31" t="s">
        <v>75</v>
      </c>
    </row>
    <row r="40" spans="1:8">
      <c r="A40" s="30">
        <v>44678</v>
      </c>
      <c r="B40" s="31" t="s">
        <v>71</v>
      </c>
      <c r="C40" s="31" t="s">
        <v>2</v>
      </c>
      <c r="D40" s="29">
        <v>11</v>
      </c>
      <c r="E40" s="29">
        <v>180</v>
      </c>
      <c r="F40" s="29">
        <v>0.15</v>
      </c>
      <c r="G40" s="29">
        <v>1980</v>
      </c>
      <c r="H40" s="31" t="s">
        <v>77</v>
      </c>
    </row>
    <row r="41" spans="1:8">
      <c r="A41" s="30">
        <v>44689</v>
      </c>
      <c r="B41" s="31" t="s">
        <v>32</v>
      </c>
      <c r="C41" s="31" t="s">
        <v>2</v>
      </c>
      <c r="D41" s="29">
        <v>10</v>
      </c>
      <c r="E41" s="29">
        <v>299.89999999999998</v>
      </c>
      <c r="F41" s="29">
        <v>0.15</v>
      </c>
      <c r="G41" s="29">
        <v>2999</v>
      </c>
      <c r="H41" s="31" t="s">
        <v>74</v>
      </c>
    </row>
    <row r="42" spans="1:8">
      <c r="A42" s="30">
        <v>44690</v>
      </c>
      <c r="B42" s="31" t="s">
        <v>70</v>
      </c>
      <c r="C42" s="31" t="s">
        <v>2</v>
      </c>
      <c r="D42" s="29">
        <v>8</v>
      </c>
      <c r="E42" s="29">
        <v>180</v>
      </c>
      <c r="F42" s="29">
        <v>0.15</v>
      </c>
      <c r="G42" s="29">
        <v>1440</v>
      </c>
      <c r="H42" s="31" t="s">
        <v>74</v>
      </c>
    </row>
    <row r="43" spans="1:8">
      <c r="A43" s="30">
        <v>44691</v>
      </c>
      <c r="B43" s="31" t="s">
        <v>34</v>
      </c>
      <c r="C43" s="31" t="s">
        <v>3</v>
      </c>
      <c r="D43" s="29">
        <v>5</v>
      </c>
      <c r="E43" s="29">
        <v>120</v>
      </c>
      <c r="F43" s="29">
        <v>0.15</v>
      </c>
      <c r="G43" s="29">
        <v>600</v>
      </c>
      <c r="H43" s="31" t="s">
        <v>77</v>
      </c>
    </row>
    <row r="44" spans="1:8">
      <c r="A44" s="30">
        <v>44692</v>
      </c>
      <c r="B44" s="31" t="s">
        <v>32</v>
      </c>
      <c r="C44" s="31" t="s">
        <v>2</v>
      </c>
      <c r="D44" s="29">
        <v>12</v>
      </c>
      <c r="E44" s="29">
        <v>299.89999999999998</v>
      </c>
      <c r="F44" s="29">
        <v>0.15</v>
      </c>
      <c r="G44" s="29">
        <v>3598.8</v>
      </c>
      <c r="H44" s="31" t="s">
        <v>74</v>
      </c>
    </row>
    <row r="45" spans="1:8">
      <c r="A45" s="30">
        <v>44693</v>
      </c>
      <c r="B45" s="31" t="s">
        <v>43</v>
      </c>
      <c r="C45" s="31" t="s">
        <v>2</v>
      </c>
      <c r="D45" s="29">
        <v>10</v>
      </c>
      <c r="E45" s="29">
        <v>93.5</v>
      </c>
      <c r="F45" s="29">
        <v>0.1</v>
      </c>
      <c r="G45" s="29">
        <v>935</v>
      </c>
      <c r="H45" s="31" t="s">
        <v>75</v>
      </c>
    </row>
    <row r="46" spans="1:8">
      <c r="A46" s="30">
        <v>44696</v>
      </c>
      <c r="B46" s="31" t="s">
        <v>60</v>
      </c>
      <c r="C46" s="31" t="s">
        <v>2</v>
      </c>
      <c r="D46" s="29">
        <v>1</v>
      </c>
      <c r="E46" s="29">
        <v>289.89999999999998</v>
      </c>
      <c r="F46" s="29">
        <v>0.1</v>
      </c>
      <c r="G46" s="29">
        <v>289.89999999999998</v>
      </c>
      <c r="H46" s="31" t="s">
        <v>73</v>
      </c>
    </row>
    <row r="47" spans="1:8">
      <c r="A47" s="30">
        <v>44699</v>
      </c>
      <c r="B47" s="31" t="s">
        <v>9</v>
      </c>
      <c r="C47" s="31" t="s">
        <v>2</v>
      </c>
      <c r="D47" s="29">
        <v>10</v>
      </c>
      <c r="E47" s="29">
        <v>69.900000000000006</v>
      </c>
      <c r="F47" s="29">
        <v>0.1</v>
      </c>
      <c r="G47" s="29">
        <v>699</v>
      </c>
      <c r="H47" s="31" t="s">
        <v>75</v>
      </c>
    </row>
    <row r="48" spans="1:8">
      <c r="A48" s="30">
        <v>44719</v>
      </c>
      <c r="B48" s="31" t="s">
        <v>42</v>
      </c>
      <c r="C48" s="31" t="s">
        <v>2</v>
      </c>
      <c r="D48" s="29">
        <v>10</v>
      </c>
      <c r="E48" s="29">
        <v>91.4</v>
      </c>
      <c r="F48" s="29">
        <v>0.15</v>
      </c>
      <c r="G48" s="29">
        <v>914</v>
      </c>
      <c r="H48" s="31" t="s">
        <v>77</v>
      </c>
    </row>
    <row r="49" spans="1:8">
      <c r="A49" s="30">
        <v>44719</v>
      </c>
      <c r="B49" s="31" t="s">
        <v>56</v>
      </c>
      <c r="C49" s="31" t="s">
        <v>2</v>
      </c>
      <c r="D49" s="29">
        <v>4</v>
      </c>
      <c r="E49" s="29">
        <v>72.5</v>
      </c>
      <c r="F49" s="29">
        <v>0.15</v>
      </c>
      <c r="G49" s="29">
        <v>290</v>
      </c>
      <c r="H49" s="31" t="s">
        <v>77</v>
      </c>
    </row>
    <row r="50" spans="1:8">
      <c r="A50" s="30">
        <v>44721</v>
      </c>
      <c r="B50" s="31" t="s">
        <v>65</v>
      </c>
      <c r="C50" s="31" t="s">
        <v>2</v>
      </c>
      <c r="D50" s="29">
        <v>9</v>
      </c>
      <c r="E50" s="29">
        <v>49.9</v>
      </c>
      <c r="F50" s="29">
        <v>0.2</v>
      </c>
      <c r="G50" s="29">
        <v>449.1</v>
      </c>
      <c r="H50" s="31" t="s">
        <v>73</v>
      </c>
    </row>
    <row r="51" spans="1:8">
      <c r="A51" s="30">
        <v>44721</v>
      </c>
      <c r="B51" s="31" t="s">
        <v>11</v>
      </c>
      <c r="C51" s="31" t="s">
        <v>3</v>
      </c>
      <c r="D51" s="29">
        <v>10</v>
      </c>
      <c r="E51" s="29">
        <v>145</v>
      </c>
      <c r="F51" s="29">
        <v>0.2</v>
      </c>
      <c r="G51" s="29">
        <v>1450</v>
      </c>
      <c r="H51" s="31" t="s">
        <v>73</v>
      </c>
    </row>
    <row r="52" spans="1:8">
      <c r="A52" s="30">
        <v>44723</v>
      </c>
      <c r="B52" s="31" t="s">
        <v>18</v>
      </c>
      <c r="C52" s="31" t="s">
        <v>2</v>
      </c>
      <c r="D52" s="29">
        <v>6</v>
      </c>
      <c r="E52" s="29">
        <v>46.9</v>
      </c>
      <c r="F52" s="29">
        <v>0.1</v>
      </c>
      <c r="G52" s="29">
        <v>281.39999999999998</v>
      </c>
      <c r="H52" s="31" t="s">
        <v>75</v>
      </c>
    </row>
    <row r="53" spans="1:8">
      <c r="A53" s="30">
        <v>44725</v>
      </c>
      <c r="B53" s="31" t="s">
        <v>33</v>
      </c>
      <c r="C53" s="31" t="s">
        <v>3</v>
      </c>
      <c r="D53" s="29">
        <v>4</v>
      </c>
      <c r="E53" s="29">
        <v>349.9</v>
      </c>
      <c r="F53" s="29">
        <v>0.15</v>
      </c>
      <c r="G53" s="29">
        <v>1399.6</v>
      </c>
      <c r="H53" s="31" t="s">
        <v>77</v>
      </c>
    </row>
    <row r="54" spans="1:8">
      <c r="A54" s="30">
        <v>44728</v>
      </c>
      <c r="B54" s="31" t="s">
        <v>23</v>
      </c>
      <c r="C54" s="31" t="s">
        <v>2</v>
      </c>
      <c r="D54" s="29">
        <v>6</v>
      </c>
      <c r="E54" s="29">
        <v>25.9</v>
      </c>
      <c r="F54" s="29">
        <v>0.2</v>
      </c>
      <c r="G54" s="29">
        <v>155.4</v>
      </c>
      <c r="H54" s="31" t="s">
        <v>76</v>
      </c>
    </row>
    <row r="55" spans="1:8">
      <c r="A55" s="30">
        <v>44728</v>
      </c>
      <c r="B55" s="31" t="s">
        <v>72</v>
      </c>
      <c r="C55" s="31" t="s">
        <v>2</v>
      </c>
      <c r="D55" s="29">
        <v>5</v>
      </c>
      <c r="E55" s="29">
        <v>180</v>
      </c>
      <c r="F55" s="29">
        <v>0.15</v>
      </c>
      <c r="G55" s="29">
        <v>900</v>
      </c>
      <c r="H55" s="31" t="s">
        <v>77</v>
      </c>
    </row>
    <row r="56" spans="1:8">
      <c r="A56" s="30">
        <v>44729</v>
      </c>
      <c r="B56" s="31" t="s">
        <v>37</v>
      </c>
      <c r="C56" s="31" t="s">
        <v>4</v>
      </c>
      <c r="D56" s="29">
        <v>5</v>
      </c>
      <c r="E56" s="29">
        <v>259.89999999999998</v>
      </c>
      <c r="F56" s="29">
        <v>0.1</v>
      </c>
      <c r="G56" s="29">
        <v>1299.5</v>
      </c>
      <c r="H56" s="31" t="s">
        <v>75</v>
      </c>
    </row>
    <row r="57" spans="1:8">
      <c r="A57" s="30">
        <v>44732</v>
      </c>
      <c r="B57" s="31" t="s">
        <v>44</v>
      </c>
      <c r="C57" s="31" t="s">
        <v>2</v>
      </c>
      <c r="D57" s="29">
        <v>9</v>
      </c>
      <c r="E57" s="29">
        <v>140</v>
      </c>
      <c r="F57" s="29">
        <v>0.2</v>
      </c>
      <c r="G57" s="29">
        <v>1260</v>
      </c>
      <c r="H57" s="31" t="s">
        <v>76</v>
      </c>
    </row>
    <row r="58" spans="1:8">
      <c r="A58" s="30">
        <v>44740</v>
      </c>
      <c r="B58" s="31" t="s">
        <v>11</v>
      </c>
      <c r="C58" s="31" t="s">
        <v>3</v>
      </c>
      <c r="D58" s="29">
        <v>10</v>
      </c>
      <c r="E58" s="29">
        <v>145</v>
      </c>
      <c r="F58" s="29">
        <v>0.2</v>
      </c>
      <c r="G58" s="29">
        <v>1450</v>
      </c>
      <c r="H58" s="31" t="s">
        <v>76</v>
      </c>
    </row>
    <row r="59" spans="1:8">
      <c r="A59" s="30">
        <v>44740</v>
      </c>
      <c r="B59" s="31" t="s">
        <v>36</v>
      </c>
      <c r="C59" s="31" t="s">
        <v>4</v>
      </c>
      <c r="D59" s="29">
        <v>1</v>
      </c>
      <c r="E59" s="29">
        <v>255</v>
      </c>
      <c r="F59" s="29">
        <v>0</v>
      </c>
      <c r="G59" s="29">
        <v>255</v>
      </c>
      <c r="H59" s="31" t="s">
        <v>76</v>
      </c>
    </row>
    <row r="60" spans="1:8">
      <c r="A60" s="30">
        <v>44741</v>
      </c>
      <c r="B60" s="31" t="s">
        <v>40</v>
      </c>
      <c r="C60" s="31" t="s">
        <v>4</v>
      </c>
      <c r="D60" s="29">
        <v>11</v>
      </c>
      <c r="E60" s="29">
        <v>259.89999999999998</v>
      </c>
      <c r="F60" s="29">
        <v>0.1</v>
      </c>
      <c r="G60" s="29">
        <v>2858.9</v>
      </c>
      <c r="H60" s="31" t="s">
        <v>75</v>
      </c>
    </row>
    <row r="61" spans="1:8">
      <c r="A61" s="30">
        <v>44742</v>
      </c>
      <c r="B61" s="31" t="s">
        <v>62</v>
      </c>
      <c r="C61" s="31" t="s">
        <v>2</v>
      </c>
      <c r="D61" s="29">
        <v>5</v>
      </c>
      <c r="E61" s="29">
        <v>32.9</v>
      </c>
      <c r="F61" s="29">
        <v>0.2</v>
      </c>
      <c r="G61" s="29">
        <v>164.5</v>
      </c>
      <c r="H61" s="31" t="s">
        <v>76</v>
      </c>
    </row>
    <row r="62" spans="1:8">
      <c r="A62" s="30">
        <v>44747</v>
      </c>
      <c r="B62" s="31" t="s">
        <v>16</v>
      </c>
      <c r="C62" s="31" t="s">
        <v>2</v>
      </c>
      <c r="D62" s="29">
        <v>3</v>
      </c>
      <c r="E62" s="29">
        <v>92.9</v>
      </c>
      <c r="F62" s="29">
        <v>0.1</v>
      </c>
      <c r="G62" s="29">
        <v>278.7</v>
      </c>
      <c r="H62" s="31" t="s">
        <v>75</v>
      </c>
    </row>
    <row r="63" spans="1:8">
      <c r="A63" s="30">
        <v>44748</v>
      </c>
      <c r="B63" s="31" t="s">
        <v>33</v>
      </c>
      <c r="C63" s="31" t="s">
        <v>3</v>
      </c>
      <c r="D63" s="29">
        <v>5</v>
      </c>
      <c r="E63" s="29">
        <v>349.9</v>
      </c>
      <c r="F63" s="29">
        <v>0.2</v>
      </c>
      <c r="G63" s="29">
        <v>1749.5</v>
      </c>
      <c r="H63" s="31" t="s">
        <v>73</v>
      </c>
    </row>
    <row r="64" spans="1:8">
      <c r="A64" s="30">
        <v>44749</v>
      </c>
      <c r="B64" s="31" t="s">
        <v>21</v>
      </c>
      <c r="C64" s="31" t="s">
        <v>2</v>
      </c>
      <c r="D64" s="29">
        <v>3</v>
      </c>
      <c r="E64" s="29">
        <v>39.9</v>
      </c>
      <c r="F64" s="29">
        <v>0.2</v>
      </c>
      <c r="G64" s="29">
        <v>119.7</v>
      </c>
      <c r="H64" s="31" t="s">
        <v>73</v>
      </c>
    </row>
    <row r="65" spans="1:8">
      <c r="A65" s="30">
        <v>44754</v>
      </c>
      <c r="B65" s="31" t="s">
        <v>17</v>
      </c>
      <c r="C65" s="31" t="s">
        <v>2</v>
      </c>
      <c r="D65" s="29">
        <v>6</v>
      </c>
      <c r="E65" s="29">
        <v>44.9</v>
      </c>
      <c r="F65" s="29">
        <v>0.15</v>
      </c>
      <c r="G65" s="29">
        <v>269.39999999999998</v>
      </c>
      <c r="H65" s="31" t="s">
        <v>77</v>
      </c>
    </row>
    <row r="66" spans="1:8">
      <c r="A66" s="30">
        <v>44755</v>
      </c>
      <c r="B66" s="31" t="s">
        <v>39</v>
      </c>
      <c r="C66" s="31" t="s">
        <v>4</v>
      </c>
      <c r="D66" s="29">
        <v>11</v>
      </c>
      <c r="E66" s="29">
        <v>250</v>
      </c>
      <c r="F66" s="29">
        <v>0.15</v>
      </c>
      <c r="G66" s="29">
        <v>2750</v>
      </c>
      <c r="H66" s="31" t="s">
        <v>74</v>
      </c>
    </row>
    <row r="67" spans="1:8">
      <c r="A67" s="30">
        <v>44759</v>
      </c>
      <c r="B67" s="31" t="s">
        <v>46</v>
      </c>
      <c r="C67" s="31" t="s">
        <v>2</v>
      </c>
      <c r="D67" s="29">
        <v>8</v>
      </c>
      <c r="E67" s="29">
        <v>146</v>
      </c>
      <c r="F67" s="29">
        <v>0.15</v>
      </c>
      <c r="G67" s="29">
        <v>1168</v>
      </c>
      <c r="H67" s="31" t="s">
        <v>74</v>
      </c>
    </row>
    <row r="68" spans="1:8">
      <c r="A68" s="30">
        <v>44765</v>
      </c>
      <c r="B68" s="31" t="s">
        <v>32</v>
      </c>
      <c r="C68" s="31" t="s">
        <v>2</v>
      </c>
      <c r="D68" s="29">
        <v>11</v>
      </c>
      <c r="E68" s="29">
        <v>299.89999999999998</v>
      </c>
      <c r="F68" s="29">
        <v>0.2</v>
      </c>
      <c r="G68" s="29">
        <v>3298.9</v>
      </c>
      <c r="H68" s="31" t="s">
        <v>73</v>
      </c>
    </row>
    <row r="69" spans="1:8">
      <c r="A69" s="30">
        <v>44768</v>
      </c>
      <c r="B69" s="31" t="s">
        <v>63</v>
      </c>
      <c r="C69" s="31" t="s">
        <v>2</v>
      </c>
      <c r="D69" s="29">
        <v>1</v>
      </c>
      <c r="E69" s="29">
        <v>32.9</v>
      </c>
      <c r="F69" s="29">
        <v>0.1</v>
      </c>
      <c r="G69" s="29">
        <v>32.9</v>
      </c>
      <c r="H69" s="31" t="s">
        <v>73</v>
      </c>
    </row>
    <row r="70" spans="1:8">
      <c r="A70" s="30">
        <v>44770</v>
      </c>
      <c r="B70" s="31" t="s">
        <v>65</v>
      </c>
      <c r="C70" s="31" t="s">
        <v>2</v>
      </c>
      <c r="D70" s="29">
        <v>2</v>
      </c>
      <c r="E70" s="29">
        <v>49.9</v>
      </c>
      <c r="F70" s="29">
        <v>0.15</v>
      </c>
      <c r="G70" s="29">
        <v>99.8</v>
      </c>
      <c r="H70" s="31" t="s">
        <v>73</v>
      </c>
    </row>
    <row r="71" spans="1:8">
      <c r="A71" s="30">
        <v>44771</v>
      </c>
      <c r="B71" s="31" t="s">
        <v>56</v>
      </c>
      <c r="C71" s="31" t="s">
        <v>2</v>
      </c>
      <c r="D71" s="29">
        <v>12</v>
      </c>
      <c r="E71" s="29">
        <v>72.5</v>
      </c>
      <c r="F71" s="29">
        <v>0.2</v>
      </c>
      <c r="G71" s="29">
        <v>870</v>
      </c>
      <c r="H71" s="31" t="s">
        <v>76</v>
      </c>
    </row>
    <row r="72" spans="1:8">
      <c r="A72" s="30">
        <v>44772</v>
      </c>
      <c r="B72" s="31" t="s">
        <v>44</v>
      </c>
      <c r="C72" s="31" t="s">
        <v>2</v>
      </c>
      <c r="D72" s="29">
        <v>4</v>
      </c>
      <c r="E72" s="29">
        <v>140</v>
      </c>
      <c r="F72" s="29">
        <v>0.2</v>
      </c>
      <c r="G72" s="29">
        <v>560</v>
      </c>
      <c r="H72" s="31" t="s">
        <v>76</v>
      </c>
    </row>
    <row r="73" spans="1:8">
      <c r="A73" s="30">
        <v>44778</v>
      </c>
      <c r="B73" s="31" t="s">
        <v>40</v>
      </c>
      <c r="C73" s="31" t="s">
        <v>4</v>
      </c>
      <c r="D73" s="29">
        <v>4</v>
      </c>
      <c r="E73" s="29">
        <v>259.89999999999998</v>
      </c>
      <c r="F73" s="29">
        <v>0.15</v>
      </c>
      <c r="G73" s="29">
        <v>1039.5999999999999</v>
      </c>
      <c r="H73" s="31" t="s">
        <v>74</v>
      </c>
    </row>
    <row r="74" spans="1:8">
      <c r="A74" s="30">
        <v>44779</v>
      </c>
      <c r="B74" s="31" t="s">
        <v>10</v>
      </c>
      <c r="C74" s="31" t="s">
        <v>2</v>
      </c>
      <c r="D74" s="29">
        <v>9</v>
      </c>
      <c r="E74" s="29">
        <v>70.900000000000006</v>
      </c>
      <c r="F74" s="29">
        <v>0.1</v>
      </c>
      <c r="G74" s="29">
        <v>638.1</v>
      </c>
      <c r="H74" s="31" t="s">
        <v>75</v>
      </c>
    </row>
    <row r="75" spans="1:8">
      <c r="A75" s="30">
        <v>44780</v>
      </c>
      <c r="B75" s="31" t="s">
        <v>70</v>
      </c>
      <c r="C75" s="31" t="s">
        <v>2</v>
      </c>
      <c r="D75" s="29">
        <v>5</v>
      </c>
      <c r="E75" s="29">
        <v>180</v>
      </c>
      <c r="F75" s="29">
        <v>0.2</v>
      </c>
      <c r="G75" s="29">
        <v>900</v>
      </c>
      <c r="H75" s="31" t="s">
        <v>76</v>
      </c>
    </row>
    <row r="76" spans="1:8">
      <c r="A76" s="30">
        <v>44781</v>
      </c>
      <c r="B76" s="31" t="s">
        <v>63</v>
      </c>
      <c r="C76" s="31" t="s">
        <v>2</v>
      </c>
      <c r="D76" s="29">
        <v>7</v>
      </c>
      <c r="E76" s="29">
        <v>32.9</v>
      </c>
      <c r="F76" s="29">
        <v>0.15</v>
      </c>
      <c r="G76" s="29">
        <v>230.3</v>
      </c>
      <c r="H76" s="31" t="s">
        <v>77</v>
      </c>
    </row>
    <row r="77" spans="1:8">
      <c r="A77" s="30">
        <v>44782</v>
      </c>
      <c r="B77" s="31" t="s">
        <v>56</v>
      </c>
      <c r="C77" s="31" t="s">
        <v>2</v>
      </c>
      <c r="D77" s="29">
        <v>2</v>
      </c>
      <c r="E77" s="29">
        <v>72.5</v>
      </c>
      <c r="F77" s="29">
        <v>0.15</v>
      </c>
      <c r="G77" s="29">
        <v>145</v>
      </c>
      <c r="H77" s="31" t="s">
        <v>77</v>
      </c>
    </row>
    <row r="78" spans="1:8">
      <c r="A78" s="30">
        <v>44783</v>
      </c>
      <c r="B78" s="31" t="s">
        <v>26</v>
      </c>
      <c r="C78" s="31" t="s">
        <v>3</v>
      </c>
      <c r="D78" s="29">
        <v>6</v>
      </c>
      <c r="E78" s="29">
        <v>49.9</v>
      </c>
      <c r="F78" s="29">
        <v>0.15</v>
      </c>
      <c r="G78" s="29">
        <v>299.39999999999998</v>
      </c>
      <c r="H78" s="31" t="s">
        <v>77</v>
      </c>
    </row>
    <row r="79" spans="1:8">
      <c r="A79" s="30">
        <v>44784</v>
      </c>
      <c r="B79" s="31" t="s">
        <v>43</v>
      </c>
      <c r="C79" s="31" t="s">
        <v>2</v>
      </c>
      <c r="D79" s="29">
        <v>1</v>
      </c>
      <c r="E79" s="29">
        <v>93.5</v>
      </c>
      <c r="F79" s="29">
        <v>0.1</v>
      </c>
      <c r="G79" s="29">
        <v>93.5</v>
      </c>
      <c r="H79" s="31" t="s">
        <v>75</v>
      </c>
    </row>
    <row r="80" spans="1:8">
      <c r="A80" s="30">
        <v>44785</v>
      </c>
      <c r="B80" s="31" t="s">
        <v>36</v>
      </c>
      <c r="C80" s="31" t="s">
        <v>4</v>
      </c>
      <c r="D80" s="29">
        <v>7</v>
      </c>
      <c r="E80" s="29">
        <v>255</v>
      </c>
      <c r="F80" s="29">
        <v>0.15</v>
      </c>
      <c r="G80" s="29">
        <v>1785</v>
      </c>
      <c r="H80" s="31" t="s">
        <v>74</v>
      </c>
    </row>
    <row r="81" spans="1:8">
      <c r="A81" s="30">
        <v>44786</v>
      </c>
      <c r="B81" s="31" t="s">
        <v>33</v>
      </c>
      <c r="C81" s="31" t="s">
        <v>3</v>
      </c>
      <c r="D81" s="29">
        <v>10</v>
      </c>
      <c r="E81" s="29">
        <v>349.9</v>
      </c>
      <c r="F81" s="29">
        <v>0.15</v>
      </c>
      <c r="G81" s="29">
        <v>3499</v>
      </c>
      <c r="H81" s="31" t="s">
        <v>77</v>
      </c>
    </row>
    <row r="82" spans="1:8">
      <c r="A82" s="30">
        <v>44787</v>
      </c>
      <c r="B82" s="31" t="s">
        <v>54</v>
      </c>
      <c r="C82" s="31" t="s">
        <v>2</v>
      </c>
      <c r="D82" s="29">
        <v>8</v>
      </c>
      <c r="E82" s="29">
        <v>54.9</v>
      </c>
      <c r="F82" s="29">
        <v>0.2</v>
      </c>
      <c r="G82" s="29">
        <v>439.2</v>
      </c>
      <c r="H82" s="31" t="s">
        <v>76</v>
      </c>
    </row>
    <row r="83" spans="1:8">
      <c r="A83" s="30">
        <v>44788</v>
      </c>
      <c r="B83" s="31" t="s">
        <v>18</v>
      </c>
      <c r="C83" s="31" t="s">
        <v>2</v>
      </c>
      <c r="D83" s="29">
        <v>11</v>
      </c>
      <c r="E83" s="29">
        <v>46.9</v>
      </c>
      <c r="F83" s="29">
        <v>0.2</v>
      </c>
      <c r="G83" s="29">
        <v>515.9</v>
      </c>
      <c r="H83" s="31" t="s">
        <v>76</v>
      </c>
    </row>
    <row r="84" spans="1:8">
      <c r="A84" s="30">
        <v>44809</v>
      </c>
      <c r="B84" s="31" t="s">
        <v>63</v>
      </c>
      <c r="C84" s="31" t="s">
        <v>2</v>
      </c>
      <c r="D84" s="29">
        <v>7</v>
      </c>
      <c r="E84" s="29">
        <v>32.9</v>
      </c>
      <c r="F84" s="29">
        <v>0.15</v>
      </c>
      <c r="G84" s="29">
        <v>230.3</v>
      </c>
      <c r="H84" s="31" t="s">
        <v>77</v>
      </c>
    </row>
    <row r="85" spans="1:8">
      <c r="A85" s="30">
        <v>44810</v>
      </c>
      <c r="B85" s="31" t="s">
        <v>18</v>
      </c>
      <c r="C85" s="31" t="s">
        <v>2</v>
      </c>
      <c r="D85" s="29">
        <v>12</v>
      </c>
      <c r="E85" s="29">
        <v>46.9</v>
      </c>
      <c r="F85" s="29">
        <v>0.2</v>
      </c>
      <c r="G85" s="29">
        <v>562.79999999999995</v>
      </c>
      <c r="H85" s="31" t="s">
        <v>73</v>
      </c>
    </row>
    <row r="86" spans="1:8">
      <c r="A86" s="30">
        <v>44811</v>
      </c>
      <c r="B86" s="31" t="s">
        <v>27</v>
      </c>
      <c r="C86" s="31" t="s">
        <v>2</v>
      </c>
      <c r="D86" s="29">
        <v>9</v>
      </c>
      <c r="E86" s="29">
        <v>299.89999999999998</v>
      </c>
      <c r="F86" s="29">
        <v>0.15</v>
      </c>
      <c r="G86" s="29">
        <v>2699.1</v>
      </c>
      <c r="H86" s="31" t="s">
        <v>74</v>
      </c>
    </row>
    <row r="87" spans="1:8">
      <c r="A87" s="30">
        <v>44812</v>
      </c>
      <c r="B87" s="31" t="s">
        <v>58</v>
      </c>
      <c r="C87" s="31" t="s">
        <v>2</v>
      </c>
      <c r="D87" s="29">
        <v>6</v>
      </c>
      <c r="E87" s="29">
        <v>289.89999999999998</v>
      </c>
      <c r="F87" s="29">
        <v>0.1</v>
      </c>
      <c r="G87" s="29">
        <v>1739.4</v>
      </c>
      <c r="H87" s="31" t="s">
        <v>75</v>
      </c>
    </row>
    <row r="88" spans="1:8">
      <c r="A88" s="30">
        <v>44813</v>
      </c>
      <c r="B88" s="31" t="s">
        <v>29</v>
      </c>
      <c r="C88" s="31" t="s">
        <v>2</v>
      </c>
      <c r="D88" s="29">
        <v>2</v>
      </c>
      <c r="E88" s="29">
        <v>300</v>
      </c>
      <c r="F88" s="29">
        <v>0.15</v>
      </c>
      <c r="G88" s="29">
        <v>600</v>
      </c>
      <c r="H88" s="31" t="s">
        <v>77</v>
      </c>
    </row>
    <row r="89" spans="1:8">
      <c r="A89" s="30">
        <v>44814</v>
      </c>
      <c r="B89" s="31" t="s">
        <v>40</v>
      </c>
      <c r="C89" s="31" t="s">
        <v>4</v>
      </c>
      <c r="D89" s="29">
        <v>3</v>
      </c>
      <c r="E89" s="29">
        <v>259.89999999999998</v>
      </c>
      <c r="F89" s="29">
        <v>0.1</v>
      </c>
      <c r="G89" s="29">
        <v>779.7</v>
      </c>
      <c r="H89" s="31" t="s">
        <v>75</v>
      </c>
    </row>
    <row r="90" spans="1:8">
      <c r="A90" s="30">
        <v>44815</v>
      </c>
      <c r="B90" s="31" t="s">
        <v>14</v>
      </c>
      <c r="C90" s="31" t="s">
        <v>2</v>
      </c>
      <c r="D90" s="29">
        <v>9</v>
      </c>
      <c r="E90" s="29">
        <v>85.9</v>
      </c>
      <c r="F90" s="29">
        <v>0.2</v>
      </c>
      <c r="G90" s="29">
        <v>773.1</v>
      </c>
      <c r="H90" s="31" t="s">
        <v>76</v>
      </c>
    </row>
    <row r="91" spans="1:8">
      <c r="A91" s="30">
        <v>44816</v>
      </c>
      <c r="B91" s="31" t="s">
        <v>57</v>
      </c>
      <c r="C91" s="31" t="s">
        <v>2</v>
      </c>
      <c r="D91" s="29">
        <v>4</v>
      </c>
      <c r="E91" s="29">
        <v>72.5</v>
      </c>
      <c r="F91" s="29">
        <v>0.2</v>
      </c>
      <c r="G91" s="29">
        <v>290</v>
      </c>
      <c r="H91" s="31" t="s">
        <v>73</v>
      </c>
    </row>
    <row r="92" spans="1:8">
      <c r="A92" s="30">
        <v>44817</v>
      </c>
      <c r="B92" s="31" t="s">
        <v>69</v>
      </c>
      <c r="C92" s="31" t="s">
        <v>4</v>
      </c>
      <c r="D92" s="29">
        <v>1</v>
      </c>
      <c r="E92" s="29">
        <v>89.9</v>
      </c>
      <c r="F92" s="29">
        <v>0</v>
      </c>
      <c r="G92" s="29">
        <v>89.9</v>
      </c>
      <c r="H92" s="31" t="s">
        <v>76</v>
      </c>
    </row>
    <row r="93" spans="1:8">
      <c r="A93" s="30">
        <v>44818</v>
      </c>
      <c r="B93" s="31" t="s">
        <v>28</v>
      </c>
      <c r="C93" s="31" t="s">
        <v>2</v>
      </c>
      <c r="D93" s="29">
        <v>11</v>
      </c>
      <c r="E93" s="29">
        <v>302.89999999999998</v>
      </c>
      <c r="F93" s="29">
        <v>0.15</v>
      </c>
      <c r="G93" s="29">
        <v>3331.9</v>
      </c>
      <c r="H93" s="31" t="s">
        <v>77</v>
      </c>
    </row>
    <row r="94" spans="1:8">
      <c r="A94" s="30">
        <v>44819</v>
      </c>
      <c r="B94" s="31" t="s">
        <v>25</v>
      </c>
      <c r="C94" s="31" t="s">
        <v>2</v>
      </c>
      <c r="D94" s="29">
        <v>6</v>
      </c>
      <c r="E94" s="29">
        <v>32.9</v>
      </c>
      <c r="F94" s="29">
        <v>0.2</v>
      </c>
      <c r="G94" s="29">
        <v>197.4</v>
      </c>
      <c r="H94" s="31" t="s">
        <v>73</v>
      </c>
    </row>
    <row r="95" spans="1:8">
      <c r="A95" s="30">
        <v>44839</v>
      </c>
      <c r="B95" s="31" t="s">
        <v>52</v>
      </c>
      <c r="C95" s="31" t="s">
        <v>2</v>
      </c>
      <c r="D95" s="29">
        <v>5</v>
      </c>
      <c r="E95" s="29">
        <v>70</v>
      </c>
      <c r="F95" s="29">
        <v>0.15</v>
      </c>
      <c r="G95" s="29">
        <v>350</v>
      </c>
      <c r="H95" s="31" t="s">
        <v>77</v>
      </c>
    </row>
    <row r="96" spans="1:8">
      <c r="A96" s="30">
        <v>44840</v>
      </c>
      <c r="B96" s="31" t="s">
        <v>20</v>
      </c>
      <c r="C96" s="31" t="s">
        <v>2</v>
      </c>
      <c r="D96" s="29">
        <v>10</v>
      </c>
      <c r="E96" s="29">
        <v>39.9</v>
      </c>
      <c r="F96" s="29">
        <v>0.2</v>
      </c>
      <c r="G96" s="29">
        <v>399</v>
      </c>
      <c r="H96" s="31" t="s">
        <v>73</v>
      </c>
    </row>
    <row r="97" spans="1:8">
      <c r="A97" s="30">
        <v>44841</v>
      </c>
      <c r="B97" s="31" t="s">
        <v>10</v>
      </c>
      <c r="C97" s="31" t="s">
        <v>2</v>
      </c>
      <c r="D97" s="29">
        <v>8</v>
      </c>
      <c r="E97" s="29">
        <v>70.900000000000006</v>
      </c>
      <c r="F97" s="29">
        <v>0.15</v>
      </c>
      <c r="G97" s="29">
        <v>567.20000000000005</v>
      </c>
      <c r="H97" s="31" t="s">
        <v>74</v>
      </c>
    </row>
    <row r="98" spans="1:8">
      <c r="A98" s="30">
        <v>44842</v>
      </c>
      <c r="B98" s="31" t="s">
        <v>12</v>
      </c>
      <c r="C98" s="31" t="s">
        <v>3</v>
      </c>
      <c r="D98" s="29">
        <v>11</v>
      </c>
      <c r="E98" s="29">
        <v>259.89999999999998</v>
      </c>
      <c r="F98" s="29">
        <v>0.2</v>
      </c>
      <c r="G98" s="29">
        <v>2858.9</v>
      </c>
      <c r="H98" s="31" t="s">
        <v>76</v>
      </c>
    </row>
    <row r="99" spans="1:8">
      <c r="A99" s="30">
        <v>44843</v>
      </c>
      <c r="B99" s="31" t="s">
        <v>59</v>
      </c>
      <c r="C99" s="31" t="s">
        <v>2</v>
      </c>
      <c r="D99" s="29">
        <v>4</v>
      </c>
      <c r="E99" s="29">
        <v>289.89999999999998</v>
      </c>
      <c r="F99" s="29">
        <v>0.2</v>
      </c>
      <c r="G99" s="29">
        <v>1159.5999999999999</v>
      </c>
      <c r="H99" s="31" t="s">
        <v>76</v>
      </c>
    </row>
    <row r="100" spans="1:8">
      <c r="A100" s="30">
        <v>44844</v>
      </c>
      <c r="B100" s="31" t="s">
        <v>33</v>
      </c>
      <c r="C100" s="31" t="s">
        <v>3</v>
      </c>
      <c r="D100" s="29">
        <v>2</v>
      </c>
      <c r="E100" s="29">
        <v>349.9</v>
      </c>
      <c r="F100" s="29">
        <v>0.05</v>
      </c>
      <c r="G100" s="29">
        <v>699.8</v>
      </c>
      <c r="H100" s="31" t="s">
        <v>73</v>
      </c>
    </row>
    <row r="101" spans="1:8">
      <c r="A101" s="30">
        <v>44845</v>
      </c>
      <c r="B101" s="31" t="s">
        <v>64</v>
      </c>
      <c r="C101" s="31" t="s">
        <v>2</v>
      </c>
      <c r="D101" s="29">
        <v>11</v>
      </c>
      <c r="E101" s="29">
        <v>49.9</v>
      </c>
      <c r="F101" s="29">
        <v>0.1</v>
      </c>
      <c r="G101" s="29">
        <v>548.9</v>
      </c>
      <c r="H101" s="31" t="s">
        <v>75</v>
      </c>
    </row>
    <row r="102" spans="1:8">
      <c r="A102" s="30">
        <v>44846</v>
      </c>
      <c r="B102" s="31" t="s">
        <v>22</v>
      </c>
      <c r="C102" s="31" t="s">
        <v>2</v>
      </c>
      <c r="D102" s="29">
        <v>8</v>
      </c>
      <c r="E102" s="29">
        <v>42.5</v>
      </c>
      <c r="F102" s="29">
        <v>0.2</v>
      </c>
      <c r="G102" s="29">
        <v>340</v>
      </c>
      <c r="H102" s="31" t="s">
        <v>76</v>
      </c>
    </row>
    <row r="103" spans="1:8">
      <c r="A103" s="30">
        <v>44847</v>
      </c>
      <c r="B103" s="31" t="s">
        <v>62</v>
      </c>
      <c r="C103" s="31" t="s">
        <v>2</v>
      </c>
      <c r="D103" s="29">
        <v>12</v>
      </c>
      <c r="E103" s="29">
        <v>32.9</v>
      </c>
      <c r="F103" s="29">
        <v>0.15</v>
      </c>
      <c r="G103" s="29">
        <v>394.8</v>
      </c>
      <c r="H103" s="31" t="s">
        <v>77</v>
      </c>
    </row>
    <row r="104" spans="1:8">
      <c r="A104" s="30">
        <v>44848</v>
      </c>
      <c r="B104" s="31" t="s">
        <v>57</v>
      </c>
      <c r="C104" s="31" t="s">
        <v>2</v>
      </c>
      <c r="D104" s="29">
        <v>7</v>
      </c>
      <c r="E104" s="29">
        <v>72.5</v>
      </c>
      <c r="F104" s="29">
        <v>0.15</v>
      </c>
      <c r="G104" s="29">
        <v>507.5</v>
      </c>
      <c r="H104" s="31" t="s">
        <v>77</v>
      </c>
    </row>
    <row r="105" spans="1:8">
      <c r="A105" s="30">
        <v>44849</v>
      </c>
      <c r="B105" s="31" t="s">
        <v>39</v>
      </c>
      <c r="C105" s="31" t="s">
        <v>4</v>
      </c>
      <c r="D105" s="29">
        <v>6</v>
      </c>
      <c r="E105" s="29">
        <v>250</v>
      </c>
      <c r="F105" s="29">
        <v>0.15</v>
      </c>
      <c r="G105" s="29">
        <v>1500</v>
      </c>
      <c r="H105" s="31" t="s">
        <v>74</v>
      </c>
    </row>
    <row r="106" spans="1:8">
      <c r="A106" s="30">
        <v>44870</v>
      </c>
      <c r="B106" s="31" t="s">
        <v>46</v>
      </c>
      <c r="C106" s="31" t="s">
        <v>2</v>
      </c>
      <c r="D106" s="29">
        <v>4</v>
      </c>
      <c r="E106" s="29">
        <v>146</v>
      </c>
      <c r="F106" s="29">
        <v>0.15</v>
      </c>
      <c r="G106" s="29">
        <v>584</v>
      </c>
      <c r="H106" s="31" t="s">
        <v>74</v>
      </c>
    </row>
    <row r="107" spans="1:8">
      <c r="A107" s="30">
        <v>44871</v>
      </c>
      <c r="B107" s="31" t="s">
        <v>24</v>
      </c>
      <c r="C107" s="31" t="s">
        <v>2</v>
      </c>
      <c r="D107" s="29">
        <v>7</v>
      </c>
      <c r="E107" s="29">
        <v>29.9</v>
      </c>
      <c r="F107" s="29">
        <v>0.15</v>
      </c>
      <c r="G107" s="29">
        <v>209.3</v>
      </c>
      <c r="H107" s="31" t="s">
        <v>77</v>
      </c>
    </row>
    <row r="108" spans="1:8">
      <c r="A108" s="30">
        <v>44872</v>
      </c>
      <c r="B108" s="31" t="s">
        <v>23</v>
      </c>
      <c r="C108" s="31" t="s">
        <v>2</v>
      </c>
      <c r="D108" s="29">
        <v>1</v>
      </c>
      <c r="E108" s="29">
        <v>25.9</v>
      </c>
      <c r="F108" s="29">
        <v>0.1</v>
      </c>
      <c r="G108" s="29">
        <v>25.9</v>
      </c>
      <c r="H108" s="31" t="s">
        <v>75</v>
      </c>
    </row>
    <row r="109" spans="1:8">
      <c r="A109" s="30">
        <v>44873</v>
      </c>
      <c r="B109" s="31" t="s">
        <v>56</v>
      </c>
      <c r="C109" s="31" t="s">
        <v>2</v>
      </c>
      <c r="D109" s="29">
        <v>10</v>
      </c>
      <c r="E109" s="29">
        <v>72.5</v>
      </c>
      <c r="F109" s="29">
        <v>0.15</v>
      </c>
      <c r="G109" s="29">
        <v>725</v>
      </c>
      <c r="H109" s="31" t="s">
        <v>74</v>
      </c>
    </row>
    <row r="110" spans="1:8">
      <c r="A110" s="30">
        <v>44874</v>
      </c>
      <c r="B110" s="31" t="s">
        <v>67</v>
      </c>
      <c r="C110" s="31" t="s">
        <v>4</v>
      </c>
      <c r="D110" s="29">
        <v>8</v>
      </c>
      <c r="E110" s="29">
        <v>89.9</v>
      </c>
      <c r="F110" s="29">
        <v>0.1</v>
      </c>
      <c r="G110" s="29">
        <v>719.2</v>
      </c>
      <c r="H110" s="31" t="s">
        <v>75</v>
      </c>
    </row>
    <row r="111" spans="1:8">
      <c r="A111" s="30">
        <v>44875</v>
      </c>
      <c r="B111" s="31" t="s">
        <v>46</v>
      </c>
      <c r="C111" s="31" t="s">
        <v>2</v>
      </c>
      <c r="D111" s="29">
        <v>9</v>
      </c>
      <c r="E111" s="29">
        <v>146</v>
      </c>
      <c r="F111" s="29">
        <v>0.1</v>
      </c>
      <c r="G111" s="29">
        <v>1314</v>
      </c>
      <c r="H111" s="31" t="s">
        <v>75</v>
      </c>
    </row>
    <row r="112" spans="1:8">
      <c r="A112" s="30">
        <v>44876</v>
      </c>
      <c r="B112" s="31" t="s">
        <v>68</v>
      </c>
      <c r="C112" s="31" t="s">
        <v>4</v>
      </c>
      <c r="D112" s="29">
        <v>3</v>
      </c>
      <c r="E112" s="29">
        <v>89.9</v>
      </c>
      <c r="F112" s="29">
        <v>0.15</v>
      </c>
      <c r="G112" s="29">
        <v>269.7</v>
      </c>
      <c r="H112" s="31" t="s">
        <v>76</v>
      </c>
    </row>
    <row r="113" spans="1:8">
      <c r="A113" s="30">
        <v>44877</v>
      </c>
      <c r="B113" s="31" t="s">
        <v>26</v>
      </c>
      <c r="C113" s="31" t="s">
        <v>3</v>
      </c>
      <c r="D113" s="29">
        <v>3</v>
      </c>
      <c r="E113" s="29">
        <v>49.9</v>
      </c>
      <c r="F113" s="29">
        <v>0.15</v>
      </c>
      <c r="G113" s="29">
        <v>149.69999999999999</v>
      </c>
      <c r="H113" s="31" t="s">
        <v>76</v>
      </c>
    </row>
    <row r="114" spans="1:8">
      <c r="A114" s="30">
        <v>44878</v>
      </c>
      <c r="B114" s="31" t="s">
        <v>35</v>
      </c>
      <c r="C114" s="31" t="s">
        <v>4</v>
      </c>
      <c r="D114" s="29">
        <v>3</v>
      </c>
      <c r="E114" s="29">
        <v>249.9</v>
      </c>
      <c r="F114" s="29">
        <v>0.1</v>
      </c>
      <c r="G114" s="29">
        <v>749.7</v>
      </c>
      <c r="H114" s="31" t="s">
        <v>75</v>
      </c>
    </row>
    <row r="115" spans="1:8">
      <c r="A115" s="30">
        <v>44879</v>
      </c>
      <c r="B115" s="31" t="s">
        <v>21</v>
      </c>
      <c r="C115" s="31" t="s">
        <v>2</v>
      </c>
      <c r="D115" s="29">
        <v>2</v>
      </c>
      <c r="E115" s="29">
        <v>39.9</v>
      </c>
      <c r="F115" s="29">
        <v>0.15</v>
      </c>
      <c r="G115" s="29">
        <v>79.8</v>
      </c>
      <c r="H115" s="31" t="s">
        <v>74</v>
      </c>
    </row>
    <row r="116" spans="1:8">
      <c r="A116" s="30">
        <v>44880</v>
      </c>
      <c r="B116" s="31" t="s">
        <v>65</v>
      </c>
      <c r="C116" s="31" t="s">
        <v>2</v>
      </c>
      <c r="D116" s="29">
        <v>2</v>
      </c>
      <c r="E116" s="29">
        <v>49.9</v>
      </c>
      <c r="F116" s="29">
        <v>0.15</v>
      </c>
      <c r="G116" s="29">
        <v>99.8</v>
      </c>
      <c r="H116" s="31" t="s">
        <v>74</v>
      </c>
    </row>
    <row r="117" spans="1:8">
      <c r="A117" s="30">
        <v>44900</v>
      </c>
      <c r="B117" s="31" t="s">
        <v>57</v>
      </c>
      <c r="C117" s="31" t="s">
        <v>2</v>
      </c>
      <c r="D117" s="29">
        <v>7</v>
      </c>
      <c r="E117" s="29">
        <v>72.5</v>
      </c>
      <c r="F117" s="29">
        <v>0.2</v>
      </c>
      <c r="G117" s="29">
        <v>507.5</v>
      </c>
      <c r="H117" s="31" t="s">
        <v>76</v>
      </c>
    </row>
    <row r="118" spans="1:8">
      <c r="A118" s="30">
        <v>44901</v>
      </c>
      <c r="B118" s="31" t="s">
        <v>23</v>
      </c>
      <c r="C118" s="31" t="s">
        <v>2</v>
      </c>
      <c r="D118" s="29">
        <v>5</v>
      </c>
      <c r="E118" s="29">
        <v>25.9</v>
      </c>
      <c r="F118" s="29">
        <v>0.1</v>
      </c>
      <c r="G118" s="29">
        <v>129.5</v>
      </c>
      <c r="H118" s="31" t="s">
        <v>75</v>
      </c>
    </row>
    <row r="119" spans="1:8">
      <c r="A119" s="30">
        <v>44902</v>
      </c>
      <c r="B119" s="31" t="s">
        <v>39</v>
      </c>
      <c r="C119" s="31" t="s">
        <v>4</v>
      </c>
      <c r="D119" s="29">
        <v>6</v>
      </c>
      <c r="E119" s="29">
        <v>250</v>
      </c>
      <c r="F119" s="29">
        <v>0.15</v>
      </c>
      <c r="G119" s="29">
        <v>1500</v>
      </c>
      <c r="H119" s="31" t="s">
        <v>74</v>
      </c>
    </row>
    <row r="120" spans="1:8">
      <c r="A120" s="30">
        <v>44903</v>
      </c>
      <c r="B120" s="31" t="s">
        <v>12</v>
      </c>
      <c r="C120" s="31" t="s">
        <v>3</v>
      </c>
      <c r="D120" s="29">
        <v>10</v>
      </c>
      <c r="E120" s="29">
        <v>259.89999999999998</v>
      </c>
      <c r="F120" s="29">
        <v>0.15</v>
      </c>
      <c r="G120" s="29">
        <v>2599</v>
      </c>
      <c r="H120" s="31" t="s">
        <v>77</v>
      </c>
    </row>
    <row r="121" spans="1:8">
      <c r="A121" s="30">
        <v>44904</v>
      </c>
      <c r="B121" s="31" t="s">
        <v>58</v>
      </c>
      <c r="C121" s="31" t="s">
        <v>2</v>
      </c>
      <c r="D121" s="29">
        <v>3</v>
      </c>
      <c r="E121" s="29">
        <v>289.89999999999998</v>
      </c>
      <c r="F121" s="29">
        <v>0.2</v>
      </c>
      <c r="G121" s="29">
        <v>869.7</v>
      </c>
      <c r="H121" s="31" t="s">
        <v>73</v>
      </c>
    </row>
    <row r="122" spans="1:8">
      <c r="A122" s="30">
        <v>44905</v>
      </c>
      <c r="B122" s="31" t="s">
        <v>28</v>
      </c>
      <c r="C122" s="31" t="s">
        <v>2</v>
      </c>
      <c r="D122" s="29">
        <v>4</v>
      </c>
      <c r="E122" s="29">
        <v>302.89999999999998</v>
      </c>
      <c r="F122" s="29">
        <v>0.15</v>
      </c>
      <c r="G122" s="29">
        <v>1211.5999999999999</v>
      </c>
      <c r="H122" s="31" t="s">
        <v>77</v>
      </c>
    </row>
    <row r="123" spans="1:8">
      <c r="A123" s="30">
        <v>44906</v>
      </c>
      <c r="B123" s="31" t="s">
        <v>71</v>
      </c>
      <c r="C123" s="31" t="s">
        <v>2</v>
      </c>
      <c r="D123" s="29">
        <v>9</v>
      </c>
      <c r="E123" s="29">
        <v>180</v>
      </c>
      <c r="F123" s="29">
        <v>0.15</v>
      </c>
      <c r="G123" s="29">
        <v>1620</v>
      </c>
      <c r="H123" s="31" t="s">
        <v>77</v>
      </c>
    </row>
    <row r="124" spans="1:8">
      <c r="A124" s="30">
        <v>44907</v>
      </c>
      <c r="B124" s="31" t="s">
        <v>8</v>
      </c>
      <c r="C124" s="31" t="s">
        <v>2</v>
      </c>
      <c r="D124" s="29">
        <v>5</v>
      </c>
      <c r="E124" s="29">
        <v>65.900000000000006</v>
      </c>
      <c r="F124" s="29">
        <v>0.15</v>
      </c>
      <c r="G124" s="29">
        <v>329.5</v>
      </c>
      <c r="H124" s="31" t="s">
        <v>74</v>
      </c>
    </row>
    <row r="125" spans="1:8">
      <c r="A125" s="30">
        <v>44908</v>
      </c>
      <c r="B125" s="31" t="s">
        <v>19</v>
      </c>
      <c r="C125" s="31" t="s">
        <v>2</v>
      </c>
      <c r="D125" s="29">
        <v>10</v>
      </c>
      <c r="E125" s="29">
        <v>48.9</v>
      </c>
      <c r="F125" s="29">
        <v>0.1</v>
      </c>
      <c r="G125" s="29">
        <v>489</v>
      </c>
      <c r="H125" s="31" t="s">
        <v>75</v>
      </c>
    </row>
    <row r="126" spans="1:8">
      <c r="A126" s="30">
        <v>44909</v>
      </c>
      <c r="B126" s="31" t="s">
        <v>58</v>
      </c>
      <c r="C126" s="31" t="s">
        <v>2</v>
      </c>
      <c r="D126" s="29">
        <v>2</v>
      </c>
      <c r="E126" s="29">
        <v>289.89999999999998</v>
      </c>
      <c r="F126" s="29">
        <v>0.15</v>
      </c>
      <c r="G126" s="29">
        <v>579.79999999999995</v>
      </c>
      <c r="H126" s="31" t="s">
        <v>74</v>
      </c>
    </row>
    <row r="127" spans="1:8">
      <c r="A127" s="30">
        <v>44910</v>
      </c>
      <c r="B127" s="31" t="s">
        <v>41</v>
      </c>
      <c r="C127" s="31" t="s">
        <v>2</v>
      </c>
      <c r="D127" s="29">
        <v>2</v>
      </c>
      <c r="E127" s="29">
        <v>89.9</v>
      </c>
      <c r="F127" s="29">
        <v>0.15</v>
      </c>
      <c r="G127" s="29">
        <v>179.8</v>
      </c>
      <c r="H127" s="31" t="s">
        <v>76</v>
      </c>
    </row>
    <row r="128" spans="1:8">
      <c r="A128" s="30">
        <v>44201</v>
      </c>
      <c r="B128" s="31" t="s">
        <v>70</v>
      </c>
      <c r="C128" s="31" t="s">
        <v>2</v>
      </c>
      <c r="D128" s="29">
        <v>11</v>
      </c>
      <c r="E128" s="29">
        <v>180</v>
      </c>
      <c r="F128" s="29">
        <v>0.2</v>
      </c>
      <c r="G128" s="29">
        <v>1980</v>
      </c>
      <c r="H128" s="31" t="s">
        <v>73</v>
      </c>
    </row>
    <row r="129" spans="1:8">
      <c r="A129" s="30">
        <v>44202</v>
      </c>
      <c r="B129" s="31" t="s">
        <v>53</v>
      </c>
      <c r="C129" s="31" t="s">
        <v>2</v>
      </c>
      <c r="D129" s="29">
        <v>3</v>
      </c>
      <c r="E129" s="29">
        <v>54.9</v>
      </c>
      <c r="F129" s="29">
        <v>0.2</v>
      </c>
      <c r="G129" s="29">
        <v>164.7</v>
      </c>
      <c r="H129" s="31" t="s">
        <v>73</v>
      </c>
    </row>
    <row r="130" spans="1:8">
      <c r="A130" s="30">
        <v>44203</v>
      </c>
      <c r="B130" s="31" t="s">
        <v>42</v>
      </c>
      <c r="C130" s="31" t="s">
        <v>2</v>
      </c>
      <c r="D130" s="29">
        <v>5</v>
      </c>
      <c r="E130" s="29">
        <v>91.4</v>
      </c>
      <c r="F130" s="29">
        <v>0.15</v>
      </c>
      <c r="G130" s="29">
        <v>457</v>
      </c>
      <c r="H130" s="31" t="s">
        <v>77</v>
      </c>
    </row>
    <row r="131" spans="1:8">
      <c r="A131" s="30">
        <v>44208</v>
      </c>
      <c r="B131" s="31" t="s">
        <v>59</v>
      </c>
      <c r="C131" s="31" t="s">
        <v>2</v>
      </c>
      <c r="D131" s="29">
        <v>7</v>
      </c>
      <c r="E131" s="29">
        <v>289.89999999999998</v>
      </c>
      <c r="F131" s="29">
        <v>0.1</v>
      </c>
      <c r="G131" s="29">
        <v>2029.3</v>
      </c>
      <c r="H131" s="31" t="s">
        <v>75</v>
      </c>
    </row>
    <row r="132" spans="1:8">
      <c r="A132" s="30">
        <v>44209</v>
      </c>
      <c r="B132" s="31" t="s">
        <v>19</v>
      </c>
      <c r="C132" s="31" t="s">
        <v>2</v>
      </c>
      <c r="D132" s="29">
        <v>5</v>
      </c>
      <c r="E132" s="29">
        <v>48.9</v>
      </c>
      <c r="F132" s="29">
        <v>0.2</v>
      </c>
      <c r="G132" s="29">
        <v>244.5</v>
      </c>
      <c r="H132" s="31" t="s">
        <v>76</v>
      </c>
    </row>
    <row r="133" spans="1:8">
      <c r="A133" s="30">
        <v>44213</v>
      </c>
      <c r="B133" s="31" t="s">
        <v>12</v>
      </c>
      <c r="C133" s="31" t="s">
        <v>3</v>
      </c>
      <c r="D133" s="29">
        <v>11</v>
      </c>
      <c r="E133" s="29">
        <v>259.89999999999998</v>
      </c>
      <c r="F133" s="29">
        <v>0.2</v>
      </c>
      <c r="G133" s="29">
        <v>2858.9</v>
      </c>
      <c r="H133" s="31" t="s">
        <v>73</v>
      </c>
    </row>
    <row r="134" spans="1:8">
      <c r="A134" s="30">
        <v>44219</v>
      </c>
      <c r="B134" s="31" t="s">
        <v>42</v>
      </c>
      <c r="C134" s="31" t="s">
        <v>2</v>
      </c>
      <c r="D134" s="29">
        <v>3</v>
      </c>
      <c r="E134" s="29">
        <v>91.4</v>
      </c>
      <c r="F134" s="29">
        <v>0.1</v>
      </c>
      <c r="G134" s="29">
        <v>274.2</v>
      </c>
      <c r="H134" s="31" t="s">
        <v>75</v>
      </c>
    </row>
    <row r="135" spans="1:8">
      <c r="A135" s="30">
        <v>44222</v>
      </c>
      <c r="B135" s="31" t="s">
        <v>68</v>
      </c>
      <c r="C135" s="31" t="s">
        <v>4</v>
      </c>
      <c r="D135" s="29">
        <v>3</v>
      </c>
      <c r="E135" s="29">
        <v>89.9</v>
      </c>
      <c r="F135" s="29">
        <v>0.1</v>
      </c>
      <c r="G135" s="29">
        <v>269.7</v>
      </c>
      <c r="H135" s="31" t="s">
        <v>75</v>
      </c>
    </row>
    <row r="136" spans="1:8">
      <c r="A136" s="30">
        <v>44224</v>
      </c>
      <c r="B136" s="31" t="s">
        <v>13</v>
      </c>
      <c r="C136" s="31" t="s">
        <v>3</v>
      </c>
      <c r="D136" s="29">
        <v>12</v>
      </c>
      <c r="E136" s="29">
        <v>39.9</v>
      </c>
      <c r="F136" s="29">
        <v>0.15</v>
      </c>
      <c r="G136" s="29">
        <v>478.8</v>
      </c>
      <c r="H136" s="31" t="s">
        <v>74</v>
      </c>
    </row>
    <row r="137" spans="1:8">
      <c r="A137" s="30">
        <v>44225</v>
      </c>
      <c r="B137" s="31" t="s">
        <v>26</v>
      </c>
      <c r="C137" s="31" t="s">
        <v>3</v>
      </c>
      <c r="D137" s="29">
        <v>11</v>
      </c>
      <c r="E137" s="29">
        <v>49.9</v>
      </c>
      <c r="F137" s="29">
        <v>0.15</v>
      </c>
      <c r="G137" s="29">
        <v>548.9</v>
      </c>
      <c r="H137" s="31" t="s">
        <v>77</v>
      </c>
    </row>
    <row r="138" spans="1:8">
      <c r="A138" s="30">
        <v>44226</v>
      </c>
      <c r="B138" s="31" t="s">
        <v>31</v>
      </c>
      <c r="C138" s="31" t="s">
        <v>2</v>
      </c>
      <c r="D138" s="29">
        <v>3</v>
      </c>
      <c r="E138" s="29">
        <v>259.89999999999998</v>
      </c>
      <c r="F138" s="29">
        <v>0.2</v>
      </c>
      <c r="G138" s="29">
        <v>779.7</v>
      </c>
      <c r="H138" s="31" t="s">
        <v>76</v>
      </c>
    </row>
    <row r="139" spans="1:8">
      <c r="A139" s="30">
        <v>44230</v>
      </c>
      <c r="B139" s="31" t="s">
        <v>21</v>
      </c>
      <c r="C139" s="31" t="s">
        <v>2</v>
      </c>
      <c r="D139" s="29">
        <v>10</v>
      </c>
      <c r="E139" s="29">
        <v>39.9</v>
      </c>
      <c r="F139" s="29">
        <v>0.15</v>
      </c>
      <c r="G139" s="29">
        <v>399</v>
      </c>
      <c r="H139" s="31" t="s">
        <v>74</v>
      </c>
    </row>
    <row r="140" spans="1:8">
      <c r="A140" s="30">
        <v>44232</v>
      </c>
      <c r="B140" s="31" t="s">
        <v>30</v>
      </c>
      <c r="C140" s="31" t="s">
        <v>2</v>
      </c>
      <c r="D140" s="29">
        <v>1</v>
      </c>
      <c r="E140" s="29">
        <v>249.9</v>
      </c>
      <c r="F140" s="29">
        <v>0.1</v>
      </c>
      <c r="G140" s="29">
        <v>249.9</v>
      </c>
      <c r="H140" s="31" t="s">
        <v>76</v>
      </c>
    </row>
    <row r="141" spans="1:8">
      <c r="A141" s="30">
        <v>44245</v>
      </c>
      <c r="B141" s="31" t="s">
        <v>19</v>
      </c>
      <c r="C141" s="31" t="s">
        <v>2</v>
      </c>
      <c r="D141" s="29">
        <v>6</v>
      </c>
      <c r="E141" s="29">
        <v>48.9</v>
      </c>
      <c r="F141" s="29">
        <v>0.15</v>
      </c>
      <c r="G141" s="29">
        <v>293.39999999999998</v>
      </c>
      <c r="H141" s="31" t="s">
        <v>77</v>
      </c>
    </row>
    <row r="142" spans="1:8">
      <c r="A142" s="30">
        <v>44248</v>
      </c>
      <c r="B142" s="31" t="s">
        <v>27</v>
      </c>
      <c r="C142" s="31" t="s">
        <v>2</v>
      </c>
      <c r="D142" s="29">
        <v>6</v>
      </c>
      <c r="E142" s="29">
        <v>299.89999999999998</v>
      </c>
      <c r="F142" s="29">
        <v>0.2</v>
      </c>
      <c r="G142" s="29">
        <v>1799.4</v>
      </c>
      <c r="H142" s="31" t="s">
        <v>76</v>
      </c>
    </row>
    <row r="143" spans="1:8">
      <c r="A143" s="30">
        <v>44251</v>
      </c>
      <c r="B143" s="31" t="s">
        <v>23</v>
      </c>
      <c r="C143" s="31" t="s">
        <v>2</v>
      </c>
      <c r="D143" s="29">
        <v>9</v>
      </c>
      <c r="E143" s="29">
        <v>25.9</v>
      </c>
      <c r="F143" s="29">
        <v>0.2</v>
      </c>
      <c r="G143" s="29">
        <v>233.1</v>
      </c>
      <c r="H143" s="31" t="s">
        <v>76</v>
      </c>
    </row>
    <row r="144" spans="1:8">
      <c r="A144" s="30">
        <v>44252</v>
      </c>
      <c r="B144" s="31" t="s">
        <v>63</v>
      </c>
      <c r="C144" s="31" t="s">
        <v>2</v>
      </c>
      <c r="D144" s="29">
        <v>8</v>
      </c>
      <c r="E144" s="29">
        <v>32.9</v>
      </c>
      <c r="F144" s="29">
        <v>0.2</v>
      </c>
      <c r="G144" s="29">
        <v>263.2</v>
      </c>
      <c r="H144" s="31" t="s">
        <v>76</v>
      </c>
    </row>
    <row r="145" spans="1:8">
      <c r="A145" s="30">
        <v>44253</v>
      </c>
      <c r="B145" s="31" t="s">
        <v>20</v>
      </c>
      <c r="C145" s="31" t="s">
        <v>2</v>
      </c>
      <c r="D145" s="29">
        <v>9</v>
      </c>
      <c r="E145" s="29">
        <v>39.9</v>
      </c>
      <c r="F145" s="29">
        <v>0.15</v>
      </c>
      <c r="G145" s="29">
        <v>359.1</v>
      </c>
      <c r="H145" s="31" t="s">
        <v>77</v>
      </c>
    </row>
    <row r="146" spans="1:8">
      <c r="A146" s="30">
        <v>44256</v>
      </c>
      <c r="B146" s="31" t="s">
        <v>9</v>
      </c>
      <c r="C146" s="31" t="s">
        <v>2</v>
      </c>
      <c r="D146" s="29">
        <v>9</v>
      </c>
      <c r="E146" s="29">
        <v>69.900000000000006</v>
      </c>
      <c r="F146" s="29">
        <v>0.15</v>
      </c>
      <c r="G146" s="29">
        <v>629.1</v>
      </c>
      <c r="H146" s="31" t="s">
        <v>74</v>
      </c>
    </row>
    <row r="147" spans="1:8">
      <c r="A147" s="30">
        <v>44256</v>
      </c>
      <c r="B147" s="31" t="s">
        <v>12</v>
      </c>
      <c r="C147" s="31" t="s">
        <v>3</v>
      </c>
      <c r="D147" s="29">
        <v>1</v>
      </c>
      <c r="E147" s="29">
        <v>259.89999999999998</v>
      </c>
      <c r="F147" s="29">
        <v>0</v>
      </c>
      <c r="G147" s="29">
        <v>259.89999999999998</v>
      </c>
      <c r="H147" s="31" t="s">
        <v>76</v>
      </c>
    </row>
    <row r="148" spans="1:8">
      <c r="A148" s="30">
        <v>44257</v>
      </c>
      <c r="B148" s="31" t="s">
        <v>14</v>
      </c>
      <c r="C148" s="31" t="s">
        <v>2</v>
      </c>
      <c r="D148" s="29">
        <v>1</v>
      </c>
      <c r="E148" s="29">
        <v>85.9</v>
      </c>
      <c r="F148" s="29">
        <v>0.1</v>
      </c>
      <c r="G148" s="29">
        <v>85.9</v>
      </c>
      <c r="H148" s="31" t="s">
        <v>75</v>
      </c>
    </row>
    <row r="149" spans="1:8">
      <c r="A149" s="30">
        <v>44258</v>
      </c>
      <c r="B149" s="31" t="s">
        <v>65</v>
      </c>
      <c r="C149" s="31" t="s">
        <v>2</v>
      </c>
      <c r="D149" s="29">
        <v>7</v>
      </c>
      <c r="E149" s="29">
        <v>49.9</v>
      </c>
      <c r="F149" s="29">
        <v>0.2</v>
      </c>
      <c r="G149" s="29">
        <v>349.3</v>
      </c>
      <c r="H149" s="31" t="s">
        <v>73</v>
      </c>
    </row>
    <row r="150" spans="1:8">
      <c r="A150" s="30">
        <v>44259</v>
      </c>
      <c r="B150" s="31" t="s">
        <v>20</v>
      </c>
      <c r="C150" s="31" t="s">
        <v>2</v>
      </c>
      <c r="D150" s="29">
        <v>4</v>
      </c>
      <c r="E150" s="29">
        <v>39.9</v>
      </c>
      <c r="F150" s="29">
        <v>0.1</v>
      </c>
      <c r="G150" s="29">
        <v>159.6</v>
      </c>
      <c r="H150" s="31" t="s">
        <v>75</v>
      </c>
    </row>
    <row r="151" spans="1:8">
      <c r="A151" s="30">
        <v>44264</v>
      </c>
      <c r="B151" s="31" t="s">
        <v>63</v>
      </c>
      <c r="C151" s="31" t="s">
        <v>2</v>
      </c>
      <c r="D151" s="29">
        <v>5</v>
      </c>
      <c r="E151" s="29">
        <v>32.9</v>
      </c>
      <c r="F151" s="29">
        <v>0.2</v>
      </c>
      <c r="G151" s="29">
        <v>164.5</v>
      </c>
      <c r="H151" s="31" t="s">
        <v>73</v>
      </c>
    </row>
    <row r="152" spans="1:8">
      <c r="A152" s="30">
        <v>44269</v>
      </c>
      <c r="B152" s="31" t="s">
        <v>16</v>
      </c>
      <c r="C152" s="31" t="s">
        <v>2</v>
      </c>
      <c r="D152" s="29">
        <v>8</v>
      </c>
      <c r="E152" s="29">
        <v>92.9</v>
      </c>
      <c r="F152" s="29">
        <v>0.2</v>
      </c>
      <c r="G152" s="29">
        <v>743.2</v>
      </c>
      <c r="H152" s="31" t="s">
        <v>73</v>
      </c>
    </row>
    <row r="153" spans="1:8">
      <c r="A153" s="30">
        <v>44274</v>
      </c>
      <c r="B153" s="31" t="s">
        <v>20</v>
      </c>
      <c r="C153" s="31" t="s">
        <v>2</v>
      </c>
      <c r="D153" s="29">
        <v>9</v>
      </c>
      <c r="E153" s="29">
        <v>39.9</v>
      </c>
      <c r="F153" s="29">
        <v>0.2</v>
      </c>
      <c r="G153" s="29">
        <v>359.1</v>
      </c>
      <c r="H153" s="31" t="s">
        <v>76</v>
      </c>
    </row>
    <row r="154" spans="1:8">
      <c r="A154" s="30">
        <v>44276</v>
      </c>
      <c r="B154" s="31" t="s">
        <v>19</v>
      </c>
      <c r="C154" s="31" t="s">
        <v>2</v>
      </c>
      <c r="D154" s="29">
        <v>9</v>
      </c>
      <c r="E154" s="29">
        <v>48.9</v>
      </c>
      <c r="F154" s="29">
        <v>0.1</v>
      </c>
      <c r="G154" s="29">
        <v>440.1</v>
      </c>
      <c r="H154" s="31" t="s">
        <v>75</v>
      </c>
    </row>
    <row r="155" spans="1:8">
      <c r="A155" s="30">
        <v>44280</v>
      </c>
      <c r="B155" s="31" t="s">
        <v>30</v>
      </c>
      <c r="C155" s="31" t="s">
        <v>2</v>
      </c>
      <c r="D155" s="29">
        <v>1</v>
      </c>
      <c r="E155" s="29">
        <v>249.9</v>
      </c>
      <c r="F155" s="29">
        <v>0.1</v>
      </c>
      <c r="G155" s="29">
        <v>249.9</v>
      </c>
      <c r="H155" s="31" t="s">
        <v>77</v>
      </c>
    </row>
    <row r="156" spans="1:8">
      <c r="A156" s="30">
        <v>44288</v>
      </c>
      <c r="B156" s="31" t="s">
        <v>30</v>
      </c>
      <c r="C156" s="31" t="s">
        <v>2</v>
      </c>
      <c r="D156" s="29">
        <v>10</v>
      </c>
      <c r="E156" s="29">
        <v>249.9</v>
      </c>
      <c r="F156" s="29">
        <v>0.15</v>
      </c>
      <c r="G156" s="29">
        <v>2499</v>
      </c>
      <c r="H156" s="31" t="s">
        <v>74</v>
      </c>
    </row>
    <row r="157" spans="1:8">
      <c r="A157" s="30">
        <v>44290</v>
      </c>
      <c r="B157" s="31" t="s">
        <v>24</v>
      </c>
      <c r="C157" s="31" t="s">
        <v>2</v>
      </c>
      <c r="D157" s="29">
        <v>4</v>
      </c>
      <c r="E157" s="29">
        <v>29.9</v>
      </c>
      <c r="F157" s="29">
        <v>0.15</v>
      </c>
      <c r="G157" s="29">
        <v>119.6</v>
      </c>
      <c r="H157" s="31" t="s">
        <v>77</v>
      </c>
    </row>
    <row r="158" spans="1:8">
      <c r="A158" s="30">
        <v>44294</v>
      </c>
      <c r="B158" s="31" t="s">
        <v>55</v>
      </c>
      <c r="C158" s="31" t="s">
        <v>2</v>
      </c>
      <c r="D158" s="29">
        <v>1</v>
      </c>
      <c r="E158" s="29">
        <v>72.5</v>
      </c>
      <c r="F158" s="29">
        <v>0.1</v>
      </c>
      <c r="G158" s="29">
        <v>72.5</v>
      </c>
      <c r="H158" s="31" t="s">
        <v>74</v>
      </c>
    </row>
    <row r="159" spans="1:8">
      <c r="A159" s="30">
        <v>44297</v>
      </c>
      <c r="B159" s="31" t="s">
        <v>46</v>
      </c>
      <c r="C159" s="31" t="s">
        <v>2</v>
      </c>
      <c r="D159" s="29">
        <v>10</v>
      </c>
      <c r="E159" s="29">
        <v>146</v>
      </c>
      <c r="F159" s="29">
        <v>0.15</v>
      </c>
      <c r="G159" s="29">
        <v>1460</v>
      </c>
      <c r="H159" s="31" t="s">
        <v>77</v>
      </c>
    </row>
    <row r="160" spans="1:8">
      <c r="A160" s="30">
        <v>44298</v>
      </c>
      <c r="B160" s="31" t="s">
        <v>10</v>
      </c>
      <c r="C160" s="31" t="s">
        <v>2</v>
      </c>
      <c r="D160" s="29">
        <v>5</v>
      </c>
      <c r="E160" s="29">
        <v>70.900000000000006</v>
      </c>
      <c r="F160" s="29">
        <v>0.15</v>
      </c>
      <c r="G160" s="29">
        <v>354.5</v>
      </c>
      <c r="H160" s="31" t="s">
        <v>74</v>
      </c>
    </row>
    <row r="161" spans="1:8">
      <c r="A161" s="30">
        <v>44299</v>
      </c>
      <c r="B161" s="31" t="s">
        <v>67</v>
      </c>
      <c r="C161" s="31" t="s">
        <v>4</v>
      </c>
      <c r="D161" s="29">
        <v>11</v>
      </c>
      <c r="E161" s="29">
        <v>89.9</v>
      </c>
      <c r="F161" s="29">
        <v>0.2</v>
      </c>
      <c r="G161" s="29">
        <v>988.9</v>
      </c>
      <c r="H161" s="31" t="s">
        <v>73</v>
      </c>
    </row>
    <row r="162" spans="1:8">
      <c r="A162" s="30">
        <v>44301</v>
      </c>
      <c r="B162" s="31" t="s">
        <v>14</v>
      </c>
      <c r="C162" s="31" t="s">
        <v>2</v>
      </c>
      <c r="D162" s="29">
        <v>6</v>
      </c>
      <c r="E162" s="29">
        <v>85.9</v>
      </c>
      <c r="F162" s="29">
        <v>0.15</v>
      </c>
      <c r="G162" s="29">
        <v>515.4</v>
      </c>
      <c r="H162" s="31" t="s">
        <v>77</v>
      </c>
    </row>
    <row r="163" spans="1:8">
      <c r="A163" s="30">
        <v>44308</v>
      </c>
      <c r="B163" s="31" t="s">
        <v>44</v>
      </c>
      <c r="C163" s="31" t="s">
        <v>2</v>
      </c>
      <c r="D163" s="29">
        <v>2</v>
      </c>
      <c r="E163" s="29">
        <v>140</v>
      </c>
      <c r="F163" s="29">
        <v>0.1</v>
      </c>
      <c r="G163" s="29">
        <v>280</v>
      </c>
      <c r="H163" s="31" t="s">
        <v>75</v>
      </c>
    </row>
    <row r="164" spans="1:8">
      <c r="A164" s="30">
        <v>44309</v>
      </c>
      <c r="B164" s="31" t="s">
        <v>56</v>
      </c>
      <c r="C164" s="31" t="s">
        <v>2</v>
      </c>
      <c r="D164" s="29">
        <v>7</v>
      </c>
      <c r="E164" s="29">
        <v>72.5</v>
      </c>
      <c r="F164" s="29">
        <v>0.15</v>
      </c>
      <c r="G164" s="29">
        <v>507.5</v>
      </c>
      <c r="H164" s="31" t="s">
        <v>74</v>
      </c>
    </row>
    <row r="165" spans="1:8">
      <c r="A165" s="30">
        <v>44312</v>
      </c>
      <c r="B165" s="31" t="s">
        <v>65</v>
      </c>
      <c r="C165" s="31" t="s">
        <v>2</v>
      </c>
      <c r="D165" s="29">
        <v>12</v>
      </c>
      <c r="E165" s="29">
        <v>49.9</v>
      </c>
      <c r="F165" s="29">
        <v>0.15</v>
      </c>
      <c r="G165" s="29">
        <v>598.79999999999995</v>
      </c>
      <c r="H165" s="31" t="s">
        <v>74</v>
      </c>
    </row>
    <row r="166" spans="1:8">
      <c r="A166" s="30">
        <v>44313</v>
      </c>
      <c r="B166" s="31" t="s">
        <v>20</v>
      </c>
      <c r="C166" s="31" t="s">
        <v>2</v>
      </c>
      <c r="D166" s="29">
        <v>7</v>
      </c>
      <c r="E166" s="29">
        <v>39.9</v>
      </c>
      <c r="F166" s="29">
        <v>0.15</v>
      </c>
      <c r="G166" s="29">
        <v>279.3</v>
      </c>
      <c r="H166" s="31" t="s">
        <v>77</v>
      </c>
    </row>
    <row r="167" spans="1:8">
      <c r="A167" s="30">
        <v>44324</v>
      </c>
      <c r="B167" s="31" t="s">
        <v>66</v>
      </c>
      <c r="C167" s="31" t="s">
        <v>2</v>
      </c>
      <c r="D167" s="29">
        <v>6</v>
      </c>
      <c r="E167" s="29">
        <v>49.9</v>
      </c>
      <c r="F167" s="29">
        <v>0.15</v>
      </c>
      <c r="G167" s="29">
        <v>299.39999999999998</v>
      </c>
      <c r="H167" s="31" t="s">
        <v>74</v>
      </c>
    </row>
    <row r="168" spans="1:8">
      <c r="A168" s="30">
        <v>44325</v>
      </c>
      <c r="B168" s="31" t="s">
        <v>42</v>
      </c>
      <c r="C168" s="31" t="s">
        <v>2</v>
      </c>
      <c r="D168" s="29">
        <v>11</v>
      </c>
      <c r="E168" s="29">
        <v>91.4</v>
      </c>
      <c r="F168" s="29">
        <v>0.2</v>
      </c>
      <c r="G168" s="29">
        <v>1005.4</v>
      </c>
      <c r="H168" s="31" t="s">
        <v>76</v>
      </c>
    </row>
    <row r="169" spans="1:8">
      <c r="A169" s="30">
        <v>44326</v>
      </c>
      <c r="B169" s="31" t="s">
        <v>12</v>
      </c>
      <c r="C169" s="31" t="s">
        <v>3</v>
      </c>
      <c r="D169" s="29">
        <v>11</v>
      </c>
      <c r="E169" s="29">
        <v>259.89999999999998</v>
      </c>
      <c r="F169" s="29">
        <v>0.2</v>
      </c>
      <c r="G169" s="29">
        <v>2858.9</v>
      </c>
      <c r="H169" s="31" t="s">
        <v>76</v>
      </c>
    </row>
    <row r="170" spans="1:8">
      <c r="A170" s="30">
        <v>44327</v>
      </c>
      <c r="B170" s="31" t="s">
        <v>46</v>
      </c>
      <c r="C170" s="31" t="s">
        <v>2</v>
      </c>
      <c r="D170" s="29">
        <v>3</v>
      </c>
      <c r="E170" s="29">
        <v>146</v>
      </c>
      <c r="F170" s="29">
        <v>0.15</v>
      </c>
      <c r="G170" s="29">
        <v>438</v>
      </c>
      <c r="H170" s="31" t="s">
        <v>77</v>
      </c>
    </row>
    <row r="171" spans="1:8">
      <c r="A171" s="30">
        <v>44328</v>
      </c>
      <c r="B171" s="31" t="s">
        <v>61</v>
      </c>
      <c r="C171" s="31" t="s">
        <v>2</v>
      </c>
      <c r="D171" s="29">
        <v>8</v>
      </c>
      <c r="E171" s="29">
        <v>32.9</v>
      </c>
      <c r="F171" s="29">
        <v>0.15</v>
      </c>
      <c r="G171" s="29">
        <v>263.2</v>
      </c>
      <c r="H171" s="31" t="s">
        <v>77</v>
      </c>
    </row>
    <row r="172" spans="1:8">
      <c r="A172" s="30">
        <v>44331</v>
      </c>
      <c r="B172" s="31" t="s">
        <v>32</v>
      </c>
      <c r="C172" s="31" t="s">
        <v>2</v>
      </c>
      <c r="D172" s="29">
        <v>11</v>
      </c>
      <c r="E172" s="29">
        <v>299.89999999999998</v>
      </c>
      <c r="F172" s="29">
        <v>0.15</v>
      </c>
      <c r="G172" s="29">
        <v>3298.9</v>
      </c>
      <c r="H172" s="31" t="s">
        <v>74</v>
      </c>
    </row>
    <row r="173" spans="1:8">
      <c r="A173" s="30">
        <v>44334</v>
      </c>
      <c r="B173" s="31" t="s">
        <v>38</v>
      </c>
      <c r="C173" s="31" t="s">
        <v>4</v>
      </c>
      <c r="D173" s="29">
        <v>8</v>
      </c>
      <c r="E173" s="29">
        <v>245</v>
      </c>
      <c r="F173" s="29">
        <v>0.2</v>
      </c>
      <c r="G173" s="29">
        <v>1960</v>
      </c>
      <c r="H173" s="31" t="s">
        <v>76</v>
      </c>
    </row>
    <row r="174" spans="1:8">
      <c r="A174" s="30">
        <v>44354</v>
      </c>
      <c r="B174" s="31" t="s">
        <v>39</v>
      </c>
      <c r="C174" s="31" t="s">
        <v>4</v>
      </c>
      <c r="D174" s="29">
        <v>6</v>
      </c>
      <c r="E174" s="29">
        <v>250</v>
      </c>
      <c r="F174" s="29">
        <v>0.15</v>
      </c>
      <c r="G174" s="29">
        <v>1500</v>
      </c>
      <c r="H174" s="31" t="s">
        <v>74</v>
      </c>
    </row>
    <row r="175" spans="1:8">
      <c r="A175" s="30">
        <v>44354</v>
      </c>
      <c r="B175" s="31" t="s">
        <v>18</v>
      </c>
      <c r="C175" s="31" t="s">
        <v>2</v>
      </c>
      <c r="D175" s="29">
        <v>2</v>
      </c>
      <c r="E175" s="29">
        <v>46.9</v>
      </c>
      <c r="F175" s="29">
        <v>0.15</v>
      </c>
      <c r="G175" s="29">
        <v>93.8</v>
      </c>
      <c r="H175" s="31" t="s">
        <v>73</v>
      </c>
    </row>
    <row r="176" spans="1:8">
      <c r="A176" s="30">
        <v>44356</v>
      </c>
      <c r="B176" s="31" t="s">
        <v>44</v>
      </c>
      <c r="C176" s="31" t="s">
        <v>2</v>
      </c>
      <c r="D176" s="29">
        <v>1</v>
      </c>
      <c r="E176" s="29">
        <v>140</v>
      </c>
      <c r="F176" s="29">
        <v>0.1</v>
      </c>
      <c r="G176" s="29">
        <v>140</v>
      </c>
      <c r="H176" s="31" t="s">
        <v>76</v>
      </c>
    </row>
    <row r="177" spans="1:8">
      <c r="A177" s="30">
        <v>44356</v>
      </c>
      <c r="B177" s="31" t="s">
        <v>66</v>
      </c>
      <c r="C177" s="31" t="s">
        <v>2</v>
      </c>
      <c r="D177" s="29">
        <v>1</v>
      </c>
      <c r="E177" s="29">
        <v>49.9</v>
      </c>
      <c r="F177" s="29">
        <v>0.1</v>
      </c>
      <c r="G177" s="29">
        <v>49.9</v>
      </c>
      <c r="H177" s="31" t="s">
        <v>76</v>
      </c>
    </row>
    <row r="178" spans="1:8">
      <c r="A178" s="30">
        <v>44358</v>
      </c>
      <c r="B178" s="31" t="s">
        <v>68</v>
      </c>
      <c r="C178" s="31" t="s">
        <v>4</v>
      </c>
      <c r="D178" s="29">
        <v>5</v>
      </c>
      <c r="E178" s="29">
        <v>89.9</v>
      </c>
      <c r="F178" s="29">
        <v>0.15</v>
      </c>
      <c r="G178" s="29">
        <v>449.5</v>
      </c>
      <c r="H178" s="31" t="s">
        <v>74</v>
      </c>
    </row>
    <row r="179" spans="1:8">
      <c r="A179" s="30">
        <v>44360</v>
      </c>
      <c r="B179" s="31" t="s">
        <v>42</v>
      </c>
      <c r="C179" s="31" t="s">
        <v>2</v>
      </c>
      <c r="D179" s="29">
        <v>11</v>
      </c>
      <c r="E179" s="29">
        <v>91.4</v>
      </c>
      <c r="F179" s="29">
        <v>0.15</v>
      </c>
      <c r="G179" s="29">
        <v>1005.4</v>
      </c>
      <c r="H179" s="31" t="s">
        <v>74</v>
      </c>
    </row>
    <row r="180" spans="1:8">
      <c r="A180" s="30">
        <v>44363</v>
      </c>
      <c r="B180" s="31" t="s">
        <v>24</v>
      </c>
      <c r="C180" s="31" t="s">
        <v>2</v>
      </c>
      <c r="D180" s="29">
        <v>11</v>
      </c>
      <c r="E180" s="29">
        <v>29.9</v>
      </c>
      <c r="F180" s="29">
        <v>0.2</v>
      </c>
      <c r="G180" s="29">
        <v>328.9</v>
      </c>
      <c r="H180" s="31" t="s">
        <v>76</v>
      </c>
    </row>
    <row r="181" spans="1:8">
      <c r="A181" s="30">
        <v>44363</v>
      </c>
      <c r="B181" s="31" t="s">
        <v>64</v>
      </c>
      <c r="C181" s="31" t="s">
        <v>2</v>
      </c>
      <c r="D181" s="29">
        <v>12</v>
      </c>
      <c r="E181" s="29">
        <v>49.9</v>
      </c>
      <c r="F181" s="29">
        <v>0.15</v>
      </c>
      <c r="G181" s="29">
        <v>598.79999999999995</v>
      </c>
      <c r="H181" s="31" t="s">
        <v>74</v>
      </c>
    </row>
    <row r="182" spans="1:8">
      <c r="A182" s="30">
        <v>44364</v>
      </c>
      <c r="B182" s="31" t="s">
        <v>33</v>
      </c>
      <c r="C182" s="31" t="s">
        <v>3</v>
      </c>
      <c r="D182" s="29">
        <v>9</v>
      </c>
      <c r="E182" s="29">
        <v>349.9</v>
      </c>
      <c r="F182" s="29">
        <v>0.2</v>
      </c>
      <c r="G182" s="29">
        <v>3149.1</v>
      </c>
      <c r="H182" s="31" t="s">
        <v>73</v>
      </c>
    </row>
    <row r="183" spans="1:8">
      <c r="A183" s="30">
        <v>44367</v>
      </c>
      <c r="B183" s="31" t="s">
        <v>65</v>
      </c>
      <c r="C183" s="31" t="s">
        <v>2</v>
      </c>
      <c r="D183" s="29">
        <v>4</v>
      </c>
      <c r="E183" s="29">
        <v>49.9</v>
      </c>
      <c r="F183" s="29">
        <v>0.15</v>
      </c>
      <c r="G183" s="29">
        <v>199.6</v>
      </c>
      <c r="H183" s="31" t="s">
        <v>74</v>
      </c>
    </row>
    <row r="184" spans="1:8">
      <c r="A184" s="30">
        <v>44375</v>
      </c>
      <c r="B184" s="31" t="s">
        <v>72</v>
      </c>
      <c r="C184" s="31" t="s">
        <v>2</v>
      </c>
      <c r="D184" s="29">
        <v>6</v>
      </c>
      <c r="E184" s="29">
        <v>180</v>
      </c>
      <c r="F184" s="29">
        <v>0.2</v>
      </c>
      <c r="G184" s="29">
        <v>1080</v>
      </c>
      <c r="H184" s="31" t="s">
        <v>73</v>
      </c>
    </row>
    <row r="185" spans="1:8">
      <c r="A185" s="30">
        <v>44375</v>
      </c>
      <c r="B185" s="31" t="s">
        <v>24</v>
      </c>
      <c r="C185" s="31" t="s">
        <v>2</v>
      </c>
      <c r="D185" s="29">
        <v>12</v>
      </c>
      <c r="E185" s="29">
        <v>29.9</v>
      </c>
      <c r="F185" s="29">
        <v>0.2</v>
      </c>
      <c r="G185" s="29">
        <v>358.8</v>
      </c>
      <c r="H185" s="31" t="s">
        <v>73</v>
      </c>
    </row>
    <row r="186" spans="1:8">
      <c r="A186" s="30">
        <v>44376</v>
      </c>
      <c r="B186" s="31" t="s">
        <v>13</v>
      </c>
      <c r="C186" s="31" t="s">
        <v>3</v>
      </c>
      <c r="D186" s="29">
        <v>9</v>
      </c>
      <c r="E186" s="29">
        <v>39.9</v>
      </c>
      <c r="F186" s="29">
        <v>0.2</v>
      </c>
      <c r="G186" s="29">
        <v>359.1</v>
      </c>
      <c r="H186" s="31" t="s">
        <v>76</v>
      </c>
    </row>
    <row r="187" spans="1:8">
      <c r="A187" s="30">
        <v>44377</v>
      </c>
      <c r="B187" s="31" t="s">
        <v>46</v>
      </c>
      <c r="C187" s="31" t="s">
        <v>2</v>
      </c>
      <c r="D187" s="29">
        <v>1</v>
      </c>
      <c r="E187" s="29">
        <v>146</v>
      </c>
      <c r="F187" s="29">
        <v>0.1</v>
      </c>
      <c r="G187" s="29">
        <v>146</v>
      </c>
      <c r="H187" s="31" t="s">
        <v>77</v>
      </c>
    </row>
    <row r="188" spans="1:8">
      <c r="A188" s="30">
        <v>44382</v>
      </c>
      <c r="B188" s="31" t="s">
        <v>59</v>
      </c>
      <c r="C188" s="31" t="s">
        <v>2</v>
      </c>
      <c r="D188" s="29">
        <v>1</v>
      </c>
      <c r="E188" s="29">
        <v>289.89999999999998</v>
      </c>
      <c r="F188" s="29">
        <v>0.1</v>
      </c>
      <c r="G188" s="29">
        <v>289.89999999999998</v>
      </c>
      <c r="H188" s="31" t="s">
        <v>73</v>
      </c>
    </row>
    <row r="189" spans="1:8">
      <c r="A189" s="30">
        <v>44383</v>
      </c>
      <c r="B189" s="31" t="s">
        <v>13</v>
      </c>
      <c r="C189" s="31" t="s">
        <v>3</v>
      </c>
      <c r="D189" s="29">
        <v>6</v>
      </c>
      <c r="E189" s="29">
        <v>39.9</v>
      </c>
      <c r="F189" s="29">
        <v>0.15</v>
      </c>
      <c r="G189" s="29">
        <v>239.4</v>
      </c>
      <c r="H189" s="31" t="s">
        <v>74</v>
      </c>
    </row>
    <row r="190" spans="1:8">
      <c r="A190" s="30">
        <v>44384</v>
      </c>
      <c r="B190" s="31" t="s">
        <v>42</v>
      </c>
      <c r="C190" s="31" t="s">
        <v>2</v>
      </c>
      <c r="D190" s="29">
        <v>9</v>
      </c>
      <c r="E190" s="29">
        <v>91.4</v>
      </c>
      <c r="F190" s="29">
        <v>0.1</v>
      </c>
      <c r="G190" s="29">
        <v>822.6</v>
      </c>
      <c r="H190" s="31" t="s">
        <v>75</v>
      </c>
    </row>
    <row r="191" spans="1:8">
      <c r="A191" s="30">
        <v>44389</v>
      </c>
      <c r="B191" s="31" t="s">
        <v>55</v>
      </c>
      <c r="C191" s="31" t="s">
        <v>2</v>
      </c>
      <c r="D191" s="29">
        <v>8</v>
      </c>
      <c r="E191" s="29">
        <v>72.5</v>
      </c>
      <c r="F191" s="29">
        <v>0.15</v>
      </c>
      <c r="G191" s="29">
        <v>580</v>
      </c>
      <c r="H191" s="31" t="s">
        <v>77</v>
      </c>
    </row>
    <row r="192" spans="1:8">
      <c r="A192" s="30">
        <v>44390</v>
      </c>
      <c r="B192" s="31" t="s">
        <v>46</v>
      </c>
      <c r="C192" s="31" t="s">
        <v>2</v>
      </c>
      <c r="D192" s="29">
        <v>5</v>
      </c>
      <c r="E192" s="29">
        <v>146</v>
      </c>
      <c r="F192" s="29">
        <v>0.15</v>
      </c>
      <c r="G192" s="29">
        <v>730</v>
      </c>
      <c r="H192" s="31" t="s">
        <v>77</v>
      </c>
    </row>
    <row r="193" spans="1:8">
      <c r="A193" s="30">
        <v>44394</v>
      </c>
      <c r="B193" s="31" t="s">
        <v>39</v>
      </c>
      <c r="C193" s="31" t="s">
        <v>4</v>
      </c>
      <c r="D193" s="29">
        <v>3</v>
      </c>
      <c r="E193" s="29">
        <v>250</v>
      </c>
      <c r="F193" s="29">
        <v>0.15</v>
      </c>
      <c r="G193" s="29">
        <v>750</v>
      </c>
      <c r="H193" s="31" t="s">
        <v>74</v>
      </c>
    </row>
    <row r="194" spans="1:8">
      <c r="A194" s="30">
        <v>44400</v>
      </c>
      <c r="B194" s="31" t="s">
        <v>31</v>
      </c>
      <c r="C194" s="31" t="s">
        <v>2</v>
      </c>
      <c r="D194" s="29">
        <v>3</v>
      </c>
      <c r="E194" s="29">
        <v>259.89999999999998</v>
      </c>
      <c r="F194" s="29">
        <v>0.1</v>
      </c>
      <c r="G194" s="29">
        <v>779.7</v>
      </c>
      <c r="H194" s="31" t="s">
        <v>75</v>
      </c>
    </row>
    <row r="195" spans="1:8">
      <c r="A195" s="30">
        <v>44403</v>
      </c>
      <c r="B195" s="31" t="s">
        <v>62</v>
      </c>
      <c r="C195" s="31" t="s">
        <v>2</v>
      </c>
      <c r="D195" s="29">
        <v>8</v>
      </c>
      <c r="E195" s="29">
        <v>32.9</v>
      </c>
      <c r="F195" s="29">
        <v>0.15</v>
      </c>
      <c r="G195" s="29">
        <v>263.2</v>
      </c>
      <c r="H195" s="31" t="s">
        <v>77</v>
      </c>
    </row>
    <row r="196" spans="1:8">
      <c r="A196" s="30">
        <v>44405</v>
      </c>
      <c r="B196" s="31" t="s">
        <v>67</v>
      </c>
      <c r="C196" s="31" t="s">
        <v>4</v>
      </c>
      <c r="D196" s="29">
        <v>7</v>
      </c>
      <c r="E196" s="29">
        <v>89.9</v>
      </c>
      <c r="F196" s="29">
        <v>0.2</v>
      </c>
      <c r="G196" s="29">
        <v>629.29999999999995</v>
      </c>
      <c r="H196" s="31" t="s">
        <v>73</v>
      </c>
    </row>
    <row r="197" spans="1:8">
      <c r="A197" s="30">
        <v>44406</v>
      </c>
      <c r="B197" s="31" t="s">
        <v>39</v>
      </c>
      <c r="C197" s="31" t="s">
        <v>4</v>
      </c>
      <c r="D197" s="29">
        <v>8</v>
      </c>
      <c r="E197" s="29">
        <v>250</v>
      </c>
      <c r="F197" s="29">
        <v>0.1</v>
      </c>
      <c r="G197" s="29">
        <v>2000</v>
      </c>
      <c r="H197" s="31" t="s">
        <v>75</v>
      </c>
    </row>
    <row r="198" spans="1:8">
      <c r="A198" s="30">
        <v>44407</v>
      </c>
      <c r="B198" s="31" t="s">
        <v>65</v>
      </c>
      <c r="C198" s="31" t="s">
        <v>2</v>
      </c>
      <c r="D198" s="29">
        <v>9</v>
      </c>
      <c r="E198" s="29">
        <v>49.9</v>
      </c>
      <c r="F198" s="29">
        <v>0.15</v>
      </c>
      <c r="G198" s="29">
        <v>449.1</v>
      </c>
      <c r="H198" s="31" t="s">
        <v>74</v>
      </c>
    </row>
    <row r="199" spans="1:8">
      <c r="A199" s="30">
        <v>44413</v>
      </c>
      <c r="B199" s="31" t="s">
        <v>42</v>
      </c>
      <c r="C199" s="31" t="s">
        <v>2</v>
      </c>
      <c r="D199" s="29">
        <v>3</v>
      </c>
      <c r="E199" s="29">
        <v>91.4</v>
      </c>
      <c r="F199" s="29">
        <v>0.1</v>
      </c>
      <c r="G199" s="29">
        <v>274.2</v>
      </c>
      <c r="H199" s="31" t="s">
        <v>75</v>
      </c>
    </row>
    <row r="200" spans="1:8">
      <c r="A200" s="30">
        <v>44414</v>
      </c>
      <c r="B200" s="31" t="s">
        <v>59</v>
      </c>
      <c r="C200" s="31" t="s">
        <v>2</v>
      </c>
      <c r="D200" s="29">
        <v>12</v>
      </c>
      <c r="E200" s="29">
        <v>289.89999999999998</v>
      </c>
      <c r="F200" s="29">
        <v>0.15</v>
      </c>
      <c r="G200" s="29">
        <v>3478.8</v>
      </c>
      <c r="H200" s="31" t="s">
        <v>74</v>
      </c>
    </row>
    <row r="201" spans="1:8">
      <c r="A201" s="30">
        <v>44415</v>
      </c>
      <c r="B201" s="31" t="s">
        <v>35</v>
      </c>
      <c r="C201" s="31" t="s">
        <v>4</v>
      </c>
      <c r="D201" s="29">
        <v>1</v>
      </c>
      <c r="E201" s="29">
        <v>249.9</v>
      </c>
      <c r="F201" s="29">
        <v>0</v>
      </c>
      <c r="G201" s="29">
        <v>249.9</v>
      </c>
      <c r="H201" s="31" t="s">
        <v>77</v>
      </c>
    </row>
    <row r="202" spans="1:8">
      <c r="A202" s="30">
        <v>44416</v>
      </c>
      <c r="B202" s="31" t="s">
        <v>71</v>
      </c>
      <c r="C202" s="31" t="s">
        <v>2</v>
      </c>
      <c r="D202" s="29">
        <v>3</v>
      </c>
      <c r="E202" s="29">
        <v>180</v>
      </c>
      <c r="F202" s="29">
        <v>0.15</v>
      </c>
      <c r="G202" s="29">
        <v>540</v>
      </c>
      <c r="H202" s="31" t="s">
        <v>77</v>
      </c>
    </row>
    <row r="203" spans="1:8">
      <c r="A203" s="30">
        <v>44417</v>
      </c>
      <c r="B203" s="31" t="s">
        <v>20</v>
      </c>
      <c r="C203" s="31" t="s">
        <v>2</v>
      </c>
      <c r="D203" s="29">
        <v>7</v>
      </c>
      <c r="E203" s="29">
        <v>39.9</v>
      </c>
      <c r="F203" s="29">
        <v>0.2</v>
      </c>
      <c r="G203" s="29">
        <v>279.3</v>
      </c>
      <c r="H203" s="31" t="s">
        <v>73</v>
      </c>
    </row>
    <row r="204" spans="1:8">
      <c r="A204" s="30">
        <v>44418</v>
      </c>
      <c r="B204" s="31" t="s">
        <v>59</v>
      </c>
      <c r="C204" s="31" t="s">
        <v>2</v>
      </c>
      <c r="D204" s="29">
        <v>7</v>
      </c>
      <c r="E204" s="29">
        <v>289.89999999999998</v>
      </c>
      <c r="F204" s="29">
        <v>0.1</v>
      </c>
      <c r="G204" s="29">
        <v>2029.3</v>
      </c>
      <c r="H204" s="31" t="s">
        <v>75</v>
      </c>
    </row>
    <row r="205" spans="1:8">
      <c r="A205" s="30">
        <v>44419</v>
      </c>
      <c r="B205" s="31" t="s">
        <v>42</v>
      </c>
      <c r="C205" s="31" t="s">
        <v>2</v>
      </c>
      <c r="D205" s="29">
        <v>11</v>
      </c>
      <c r="E205" s="29">
        <v>91.4</v>
      </c>
      <c r="F205" s="29">
        <v>0.15</v>
      </c>
      <c r="G205" s="29">
        <v>1005.4</v>
      </c>
      <c r="H205" s="31" t="s">
        <v>74</v>
      </c>
    </row>
    <row r="206" spans="1:8">
      <c r="A206" s="30">
        <v>44420</v>
      </c>
      <c r="B206" s="31" t="s">
        <v>68</v>
      </c>
      <c r="C206" s="31" t="s">
        <v>4</v>
      </c>
      <c r="D206" s="29">
        <v>6</v>
      </c>
      <c r="E206" s="29">
        <v>89.9</v>
      </c>
      <c r="F206" s="29">
        <v>0.15</v>
      </c>
      <c r="G206" s="29">
        <v>539.4</v>
      </c>
      <c r="H206" s="31" t="s">
        <v>77</v>
      </c>
    </row>
    <row r="207" spans="1:8">
      <c r="A207" s="30">
        <v>44421</v>
      </c>
      <c r="B207" s="31" t="s">
        <v>61</v>
      </c>
      <c r="C207" s="31" t="s">
        <v>2</v>
      </c>
      <c r="D207" s="29">
        <v>12</v>
      </c>
      <c r="E207" s="29">
        <v>32.9</v>
      </c>
      <c r="F207" s="29">
        <v>0.2</v>
      </c>
      <c r="G207" s="29">
        <v>394.8</v>
      </c>
      <c r="H207" s="31" t="s">
        <v>73</v>
      </c>
    </row>
    <row r="208" spans="1:8">
      <c r="A208" s="30">
        <v>44422</v>
      </c>
      <c r="B208" s="31" t="s">
        <v>38</v>
      </c>
      <c r="C208" s="31" t="s">
        <v>4</v>
      </c>
      <c r="D208" s="29">
        <v>12</v>
      </c>
      <c r="E208" s="29">
        <v>245</v>
      </c>
      <c r="F208" s="29">
        <v>0.15</v>
      </c>
      <c r="G208" s="29">
        <v>2940</v>
      </c>
      <c r="H208" s="31" t="s">
        <v>77</v>
      </c>
    </row>
    <row r="209" spans="1:8">
      <c r="A209" s="30">
        <v>44423</v>
      </c>
      <c r="B209" s="31" t="s">
        <v>15</v>
      </c>
      <c r="C209" s="31" t="s">
        <v>2</v>
      </c>
      <c r="D209" s="29">
        <v>3</v>
      </c>
      <c r="E209" s="29">
        <v>89.9</v>
      </c>
      <c r="F209" s="29">
        <v>0.1</v>
      </c>
      <c r="G209" s="29">
        <v>269.7</v>
      </c>
      <c r="H209" s="31" t="s">
        <v>75</v>
      </c>
    </row>
    <row r="210" spans="1:8">
      <c r="A210" s="30">
        <v>44444</v>
      </c>
      <c r="B210" s="31" t="s">
        <v>22</v>
      </c>
      <c r="C210" s="31" t="s">
        <v>2</v>
      </c>
      <c r="D210" s="29">
        <v>11</v>
      </c>
      <c r="E210" s="29">
        <v>42.5</v>
      </c>
      <c r="F210" s="29">
        <v>0.15</v>
      </c>
      <c r="G210" s="29">
        <v>467.5</v>
      </c>
      <c r="H210" s="31" t="s">
        <v>77</v>
      </c>
    </row>
    <row r="211" spans="1:8">
      <c r="A211" s="30">
        <v>44445</v>
      </c>
      <c r="B211" s="31" t="s">
        <v>57</v>
      </c>
      <c r="C211" s="31" t="s">
        <v>2</v>
      </c>
      <c r="D211" s="29">
        <v>11</v>
      </c>
      <c r="E211" s="29">
        <v>72.5</v>
      </c>
      <c r="F211" s="29">
        <v>0.15</v>
      </c>
      <c r="G211" s="29">
        <v>797.5</v>
      </c>
      <c r="H211" s="31" t="s">
        <v>77</v>
      </c>
    </row>
    <row r="212" spans="1:8">
      <c r="A212" s="30">
        <v>44446</v>
      </c>
      <c r="B212" s="31" t="s">
        <v>43</v>
      </c>
      <c r="C212" s="31" t="s">
        <v>2</v>
      </c>
      <c r="D212" s="29">
        <v>4</v>
      </c>
      <c r="E212" s="29">
        <v>93.5</v>
      </c>
      <c r="F212" s="29">
        <v>0.15</v>
      </c>
      <c r="G212" s="29">
        <v>374</v>
      </c>
      <c r="H212" s="31" t="s">
        <v>74</v>
      </c>
    </row>
    <row r="213" spans="1:8">
      <c r="A213" s="30">
        <v>44447</v>
      </c>
      <c r="B213" s="31" t="s">
        <v>39</v>
      </c>
      <c r="C213" s="31" t="s">
        <v>4</v>
      </c>
      <c r="D213" s="29">
        <v>9</v>
      </c>
      <c r="E213" s="29">
        <v>250</v>
      </c>
      <c r="F213" s="29">
        <v>0.15</v>
      </c>
      <c r="G213" s="29">
        <v>2250</v>
      </c>
      <c r="H213" s="31" t="s">
        <v>77</v>
      </c>
    </row>
    <row r="214" spans="1:8">
      <c r="A214" s="30">
        <v>44448</v>
      </c>
      <c r="B214" s="31" t="s">
        <v>61</v>
      </c>
      <c r="C214" s="31" t="s">
        <v>2</v>
      </c>
      <c r="D214" s="29">
        <v>2</v>
      </c>
      <c r="E214" s="29">
        <v>32.9</v>
      </c>
      <c r="F214" s="29">
        <v>0.15</v>
      </c>
      <c r="G214" s="29">
        <v>65.8</v>
      </c>
      <c r="H214" s="31" t="s">
        <v>76</v>
      </c>
    </row>
    <row r="215" spans="1:8">
      <c r="A215" s="30">
        <v>44449</v>
      </c>
      <c r="B215" s="31" t="s">
        <v>27</v>
      </c>
      <c r="C215" s="31" t="s">
        <v>2</v>
      </c>
      <c r="D215" s="29">
        <v>5</v>
      </c>
      <c r="E215" s="29">
        <v>299.89999999999998</v>
      </c>
      <c r="F215" s="29">
        <v>0.15</v>
      </c>
      <c r="G215" s="29">
        <v>1499.5</v>
      </c>
      <c r="H215" s="31" t="s">
        <v>77</v>
      </c>
    </row>
    <row r="216" spans="1:8">
      <c r="A216" s="30">
        <v>44450</v>
      </c>
      <c r="B216" s="31" t="s">
        <v>10</v>
      </c>
      <c r="C216" s="31" t="s">
        <v>2</v>
      </c>
      <c r="D216" s="29">
        <v>10</v>
      </c>
      <c r="E216" s="29">
        <v>70.900000000000006</v>
      </c>
      <c r="F216" s="29">
        <v>0.2</v>
      </c>
      <c r="G216" s="29">
        <v>709</v>
      </c>
      <c r="H216" s="31" t="s">
        <v>76</v>
      </c>
    </row>
    <row r="217" spans="1:8">
      <c r="A217" s="30">
        <v>44451</v>
      </c>
      <c r="B217" s="31" t="s">
        <v>63</v>
      </c>
      <c r="C217" s="31" t="s">
        <v>2</v>
      </c>
      <c r="D217" s="29">
        <v>11</v>
      </c>
      <c r="E217" s="29">
        <v>32.9</v>
      </c>
      <c r="F217" s="29">
        <v>0.2</v>
      </c>
      <c r="G217" s="29">
        <v>361.9</v>
      </c>
      <c r="H217" s="31" t="s">
        <v>73</v>
      </c>
    </row>
    <row r="218" spans="1:8">
      <c r="A218" s="30">
        <v>44452</v>
      </c>
      <c r="B218" s="31" t="s">
        <v>9</v>
      </c>
      <c r="C218" s="31" t="s">
        <v>2</v>
      </c>
      <c r="D218" s="29">
        <v>9</v>
      </c>
      <c r="E218" s="29">
        <v>69.900000000000006</v>
      </c>
      <c r="F218" s="29">
        <v>0.2</v>
      </c>
      <c r="G218" s="29">
        <v>629.1</v>
      </c>
      <c r="H218" s="31" t="s">
        <v>73</v>
      </c>
    </row>
    <row r="219" spans="1:8">
      <c r="A219" s="30">
        <v>44453</v>
      </c>
      <c r="B219" s="31" t="s">
        <v>45</v>
      </c>
      <c r="C219" s="31" t="s">
        <v>2</v>
      </c>
      <c r="D219" s="29">
        <v>8</v>
      </c>
      <c r="E219" s="29">
        <v>142.9</v>
      </c>
      <c r="F219" s="29">
        <v>0.15</v>
      </c>
      <c r="G219" s="29">
        <v>1143.2</v>
      </c>
      <c r="H219" s="31" t="s">
        <v>77</v>
      </c>
    </row>
    <row r="220" spans="1:8">
      <c r="A220" s="30">
        <v>44454</v>
      </c>
      <c r="B220" s="31" t="s">
        <v>12</v>
      </c>
      <c r="C220" s="31" t="s">
        <v>3</v>
      </c>
      <c r="D220" s="29">
        <v>1</v>
      </c>
      <c r="E220" s="29">
        <v>259.89999999999998</v>
      </c>
      <c r="F220" s="29">
        <v>0</v>
      </c>
      <c r="G220" s="29">
        <v>259.89999999999998</v>
      </c>
      <c r="H220" s="31" t="s">
        <v>75</v>
      </c>
    </row>
    <row r="221" spans="1:8">
      <c r="A221" s="30">
        <v>44474</v>
      </c>
      <c r="B221" s="31" t="s">
        <v>65</v>
      </c>
      <c r="C221" s="31" t="s">
        <v>2</v>
      </c>
      <c r="D221" s="29">
        <v>10</v>
      </c>
      <c r="E221" s="29">
        <v>49.9</v>
      </c>
      <c r="F221" s="29">
        <v>0.1</v>
      </c>
      <c r="G221" s="29">
        <v>499</v>
      </c>
      <c r="H221" s="31" t="s">
        <v>75</v>
      </c>
    </row>
    <row r="222" spans="1:8">
      <c r="A222" s="30">
        <v>44475</v>
      </c>
      <c r="B222" s="31" t="s">
        <v>58</v>
      </c>
      <c r="C222" s="31" t="s">
        <v>2</v>
      </c>
      <c r="D222" s="29">
        <v>2</v>
      </c>
      <c r="E222" s="29">
        <v>289.89999999999998</v>
      </c>
      <c r="F222" s="29">
        <v>0.1</v>
      </c>
      <c r="G222" s="29">
        <v>579.79999999999995</v>
      </c>
      <c r="H222" s="31" t="s">
        <v>75</v>
      </c>
    </row>
    <row r="223" spans="1:8">
      <c r="A223" s="30">
        <v>44476</v>
      </c>
      <c r="B223" s="31" t="s">
        <v>8</v>
      </c>
      <c r="C223" s="31" t="s">
        <v>2</v>
      </c>
      <c r="D223" s="29">
        <v>1</v>
      </c>
      <c r="E223" s="29">
        <v>65.900000000000006</v>
      </c>
      <c r="F223" s="29">
        <v>0.1</v>
      </c>
      <c r="G223" s="29">
        <v>65.900000000000006</v>
      </c>
      <c r="H223" s="31" t="s">
        <v>76</v>
      </c>
    </row>
    <row r="224" spans="1:8">
      <c r="A224" s="30">
        <v>44477</v>
      </c>
      <c r="B224" s="31" t="s">
        <v>31</v>
      </c>
      <c r="C224" s="31" t="s">
        <v>2</v>
      </c>
      <c r="D224" s="29">
        <v>7</v>
      </c>
      <c r="E224" s="29">
        <v>259.89999999999998</v>
      </c>
      <c r="F224" s="29">
        <v>0.1</v>
      </c>
      <c r="G224" s="29">
        <v>1819.3</v>
      </c>
      <c r="H224" s="31" t="s">
        <v>75</v>
      </c>
    </row>
    <row r="225" spans="1:8">
      <c r="A225" s="30">
        <v>44478</v>
      </c>
      <c r="B225" s="31" t="s">
        <v>18</v>
      </c>
      <c r="C225" s="31" t="s">
        <v>2</v>
      </c>
      <c r="D225" s="29">
        <v>11</v>
      </c>
      <c r="E225" s="29">
        <v>46.9</v>
      </c>
      <c r="F225" s="29">
        <v>0.2</v>
      </c>
      <c r="G225" s="29">
        <v>515.9</v>
      </c>
      <c r="H225" s="31" t="s">
        <v>73</v>
      </c>
    </row>
    <row r="226" spans="1:8">
      <c r="A226" s="30">
        <v>44479</v>
      </c>
      <c r="B226" s="31" t="s">
        <v>69</v>
      </c>
      <c r="C226" s="31" t="s">
        <v>4</v>
      </c>
      <c r="D226" s="29">
        <v>1</v>
      </c>
      <c r="E226" s="29">
        <v>89.9</v>
      </c>
      <c r="F226" s="29">
        <v>0</v>
      </c>
      <c r="G226" s="29">
        <v>89.9</v>
      </c>
      <c r="H226" s="31" t="s">
        <v>75</v>
      </c>
    </row>
    <row r="227" spans="1:8">
      <c r="A227" s="30">
        <v>44480</v>
      </c>
      <c r="B227" s="31" t="s">
        <v>45</v>
      </c>
      <c r="C227" s="31" t="s">
        <v>2</v>
      </c>
      <c r="D227" s="29">
        <v>9</v>
      </c>
      <c r="E227" s="29">
        <v>142.9</v>
      </c>
      <c r="F227" s="29">
        <v>0.2</v>
      </c>
      <c r="G227" s="29">
        <v>1286.0999999999999</v>
      </c>
      <c r="H227" s="31" t="s">
        <v>73</v>
      </c>
    </row>
    <row r="228" spans="1:8">
      <c r="A228" s="30">
        <v>44481</v>
      </c>
      <c r="B228" s="31" t="s">
        <v>56</v>
      </c>
      <c r="C228" s="31" t="s">
        <v>2</v>
      </c>
      <c r="D228" s="29">
        <v>4</v>
      </c>
      <c r="E228" s="29">
        <v>72.5</v>
      </c>
      <c r="F228" s="29">
        <v>0.1</v>
      </c>
      <c r="G228" s="29">
        <v>290</v>
      </c>
      <c r="H228" s="31" t="s">
        <v>75</v>
      </c>
    </row>
    <row r="229" spans="1:8">
      <c r="A229" s="30">
        <v>44482</v>
      </c>
      <c r="B229" s="31" t="s">
        <v>9</v>
      </c>
      <c r="C229" s="31" t="s">
        <v>2</v>
      </c>
      <c r="D229" s="29">
        <v>10</v>
      </c>
      <c r="E229" s="29">
        <v>69.900000000000006</v>
      </c>
      <c r="F229" s="29">
        <v>0.2</v>
      </c>
      <c r="G229" s="29">
        <v>699</v>
      </c>
      <c r="H229" s="31" t="s">
        <v>73</v>
      </c>
    </row>
    <row r="230" spans="1:8">
      <c r="A230" s="30">
        <v>44483</v>
      </c>
      <c r="B230" s="31" t="s">
        <v>17</v>
      </c>
      <c r="C230" s="31" t="s">
        <v>2</v>
      </c>
      <c r="D230" s="29">
        <v>2</v>
      </c>
      <c r="E230" s="29">
        <v>44.9</v>
      </c>
      <c r="F230" s="29">
        <v>0.15</v>
      </c>
      <c r="G230" s="29">
        <v>89.8</v>
      </c>
      <c r="H230" s="31" t="s">
        <v>73</v>
      </c>
    </row>
    <row r="231" spans="1:8">
      <c r="A231" s="30">
        <v>44484</v>
      </c>
      <c r="B231" s="31" t="s">
        <v>21</v>
      </c>
      <c r="C231" s="31" t="s">
        <v>2</v>
      </c>
      <c r="D231" s="29">
        <v>10</v>
      </c>
      <c r="E231" s="29">
        <v>39.9</v>
      </c>
      <c r="F231" s="29">
        <v>0.2</v>
      </c>
      <c r="G231" s="29">
        <v>399</v>
      </c>
      <c r="H231" s="31" t="s">
        <v>73</v>
      </c>
    </row>
    <row r="232" spans="1:8">
      <c r="A232" s="30">
        <v>44505</v>
      </c>
      <c r="B232" s="31" t="s">
        <v>57</v>
      </c>
      <c r="C232" s="31" t="s">
        <v>2</v>
      </c>
      <c r="D232" s="29">
        <v>1</v>
      </c>
      <c r="E232" s="29">
        <v>72.5</v>
      </c>
      <c r="F232" s="29">
        <v>0.1</v>
      </c>
      <c r="G232" s="29">
        <v>72.5</v>
      </c>
      <c r="H232" s="31" t="s">
        <v>73</v>
      </c>
    </row>
    <row r="233" spans="1:8">
      <c r="A233" s="30">
        <v>44506</v>
      </c>
      <c r="B233" s="31" t="s">
        <v>53</v>
      </c>
      <c r="C233" s="31" t="s">
        <v>2</v>
      </c>
      <c r="D233" s="29">
        <v>3</v>
      </c>
      <c r="E233" s="29">
        <v>54.9</v>
      </c>
      <c r="F233" s="29">
        <v>0.15</v>
      </c>
      <c r="G233" s="29">
        <v>164.7</v>
      </c>
      <c r="H233" s="31" t="s">
        <v>77</v>
      </c>
    </row>
    <row r="234" spans="1:8">
      <c r="A234" s="30">
        <v>44507</v>
      </c>
      <c r="B234" s="31" t="s">
        <v>57</v>
      </c>
      <c r="C234" s="31" t="s">
        <v>2</v>
      </c>
      <c r="D234" s="29">
        <v>4</v>
      </c>
      <c r="E234" s="29">
        <v>72.5</v>
      </c>
      <c r="F234" s="29">
        <v>0.2</v>
      </c>
      <c r="G234" s="29">
        <v>290</v>
      </c>
      <c r="H234" s="31" t="s">
        <v>76</v>
      </c>
    </row>
    <row r="235" spans="1:8">
      <c r="A235" s="30">
        <v>44508</v>
      </c>
      <c r="B235" s="31" t="s">
        <v>57</v>
      </c>
      <c r="C235" s="31" t="s">
        <v>2</v>
      </c>
      <c r="D235" s="29">
        <v>2</v>
      </c>
      <c r="E235" s="29">
        <v>72.5</v>
      </c>
      <c r="F235" s="29">
        <v>0.15</v>
      </c>
      <c r="G235" s="29">
        <v>145</v>
      </c>
      <c r="H235" s="31" t="s">
        <v>73</v>
      </c>
    </row>
    <row r="236" spans="1:8">
      <c r="A236" s="30">
        <v>44509</v>
      </c>
      <c r="B236" s="31" t="s">
        <v>15</v>
      </c>
      <c r="C236" s="31" t="s">
        <v>2</v>
      </c>
      <c r="D236" s="29">
        <v>3</v>
      </c>
      <c r="E236" s="29">
        <v>89.9</v>
      </c>
      <c r="F236" s="29">
        <v>0.15</v>
      </c>
      <c r="G236" s="29">
        <v>269.7</v>
      </c>
      <c r="H236" s="31" t="s">
        <v>77</v>
      </c>
    </row>
    <row r="237" spans="1:8">
      <c r="A237" s="30">
        <v>44510</v>
      </c>
      <c r="B237" s="31" t="s">
        <v>68</v>
      </c>
      <c r="C237" s="31" t="s">
        <v>4</v>
      </c>
      <c r="D237" s="29">
        <v>4</v>
      </c>
      <c r="E237" s="29">
        <v>89.9</v>
      </c>
      <c r="F237" s="29">
        <v>0.15</v>
      </c>
      <c r="G237" s="29">
        <v>359.6</v>
      </c>
      <c r="H237" s="31" t="s">
        <v>76</v>
      </c>
    </row>
    <row r="238" spans="1:8">
      <c r="A238" s="30">
        <v>44511</v>
      </c>
      <c r="B238" s="31" t="s">
        <v>52</v>
      </c>
      <c r="C238" s="31" t="s">
        <v>2</v>
      </c>
      <c r="D238" s="29">
        <v>9</v>
      </c>
      <c r="E238" s="29">
        <v>70</v>
      </c>
      <c r="F238" s="29">
        <v>0.15</v>
      </c>
      <c r="G238" s="29">
        <v>630</v>
      </c>
      <c r="H238" s="31" t="s">
        <v>74</v>
      </c>
    </row>
    <row r="239" spans="1:8">
      <c r="A239" s="30">
        <v>44512</v>
      </c>
      <c r="B239" s="31" t="s">
        <v>10</v>
      </c>
      <c r="C239" s="31" t="s">
        <v>2</v>
      </c>
      <c r="D239" s="29">
        <v>2</v>
      </c>
      <c r="E239" s="29">
        <v>70.900000000000006</v>
      </c>
      <c r="F239" s="29">
        <v>0.15</v>
      </c>
      <c r="G239" s="29">
        <v>141.80000000000001</v>
      </c>
      <c r="H239" s="31" t="s">
        <v>73</v>
      </c>
    </row>
    <row r="240" spans="1:8">
      <c r="A240" s="30">
        <v>44513</v>
      </c>
      <c r="B240" s="31" t="s">
        <v>15</v>
      </c>
      <c r="C240" s="31" t="s">
        <v>2</v>
      </c>
      <c r="D240" s="29">
        <v>3</v>
      </c>
      <c r="E240" s="29">
        <v>89.9</v>
      </c>
      <c r="F240" s="29">
        <v>0.15</v>
      </c>
      <c r="G240" s="29">
        <v>269.7</v>
      </c>
      <c r="H240" s="31" t="s">
        <v>74</v>
      </c>
    </row>
    <row r="241" spans="1:8">
      <c r="A241" s="30">
        <v>44514</v>
      </c>
      <c r="B241" s="31" t="s">
        <v>28</v>
      </c>
      <c r="C241" s="31" t="s">
        <v>2</v>
      </c>
      <c r="D241" s="29">
        <v>7</v>
      </c>
      <c r="E241" s="29">
        <v>302.89999999999998</v>
      </c>
      <c r="F241" s="29">
        <v>0.15</v>
      </c>
      <c r="G241" s="29">
        <v>2120.3000000000002</v>
      </c>
      <c r="H241" s="31" t="s">
        <v>77</v>
      </c>
    </row>
    <row r="242" spans="1:8">
      <c r="A242" s="30">
        <v>44515</v>
      </c>
      <c r="B242" s="31" t="s">
        <v>63</v>
      </c>
      <c r="C242" s="31" t="s">
        <v>2</v>
      </c>
      <c r="D242" s="29">
        <v>2</v>
      </c>
      <c r="E242" s="29">
        <v>32.9</v>
      </c>
      <c r="F242" s="29">
        <v>0.1</v>
      </c>
      <c r="G242" s="29">
        <v>65.8</v>
      </c>
      <c r="H242" s="31" t="s">
        <v>75</v>
      </c>
    </row>
    <row r="243" spans="1:8">
      <c r="A243" s="30">
        <v>44535</v>
      </c>
      <c r="B243" s="31" t="s">
        <v>72</v>
      </c>
      <c r="C243" s="31" t="s">
        <v>2</v>
      </c>
      <c r="D243" s="29">
        <v>3</v>
      </c>
      <c r="E243" s="29">
        <v>180</v>
      </c>
      <c r="F243" s="29">
        <v>0.1</v>
      </c>
      <c r="G243" s="29">
        <v>540</v>
      </c>
      <c r="H243" s="31" t="s">
        <v>75</v>
      </c>
    </row>
    <row r="244" spans="1:8">
      <c r="A244" s="30">
        <v>44536</v>
      </c>
      <c r="B244" s="31" t="s">
        <v>61</v>
      </c>
      <c r="C244" s="31" t="s">
        <v>2</v>
      </c>
      <c r="D244" s="29">
        <v>9</v>
      </c>
      <c r="E244" s="29">
        <v>32.9</v>
      </c>
      <c r="F244" s="29">
        <v>0.15</v>
      </c>
      <c r="G244" s="29">
        <v>296.10000000000002</v>
      </c>
      <c r="H244" s="31" t="s">
        <v>74</v>
      </c>
    </row>
    <row r="245" spans="1:8">
      <c r="A245" s="30">
        <v>44537</v>
      </c>
      <c r="B245" s="31" t="s">
        <v>41</v>
      </c>
      <c r="C245" s="31" t="s">
        <v>2</v>
      </c>
      <c r="D245" s="29">
        <v>6</v>
      </c>
      <c r="E245" s="29">
        <v>89.9</v>
      </c>
      <c r="F245" s="29">
        <v>0.2</v>
      </c>
      <c r="G245" s="29">
        <v>539.4</v>
      </c>
      <c r="H245" s="31" t="s">
        <v>76</v>
      </c>
    </row>
    <row r="246" spans="1:8">
      <c r="A246" s="30">
        <v>44538</v>
      </c>
      <c r="B246" s="31" t="s">
        <v>39</v>
      </c>
      <c r="C246" s="31" t="s">
        <v>4</v>
      </c>
      <c r="D246" s="29">
        <v>8</v>
      </c>
      <c r="E246" s="29">
        <v>250</v>
      </c>
      <c r="F246" s="29">
        <v>0.15</v>
      </c>
      <c r="G246" s="29">
        <v>2000</v>
      </c>
      <c r="H246" s="31" t="s">
        <v>77</v>
      </c>
    </row>
    <row r="247" spans="1:8">
      <c r="A247" s="30">
        <v>44539</v>
      </c>
      <c r="B247" s="31" t="s">
        <v>40</v>
      </c>
      <c r="C247" s="31" t="s">
        <v>4</v>
      </c>
      <c r="D247" s="29">
        <v>8</v>
      </c>
      <c r="E247" s="29">
        <v>259.89999999999998</v>
      </c>
      <c r="F247" s="29">
        <v>0.2</v>
      </c>
      <c r="G247" s="29">
        <v>2079.1999999999998</v>
      </c>
      <c r="H247" s="31" t="s">
        <v>76</v>
      </c>
    </row>
    <row r="248" spans="1:8">
      <c r="A248" s="30">
        <v>44540</v>
      </c>
      <c r="B248" s="31" t="s">
        <v>9</v>
      </c>
      <c r="C248" s="31" t="s">
        <v>2</v>
      </c>
      <c r="D248" s="29">
        <v>4</v>
      </c>
      <c r="E248" s="29">
        <v>69.900000000000006</v>
      </c>
      <c r="F248" s="29">
        <v>0.15</v>
      </c>
      <c r="G248" s="29">
        <v>279.60000000000002</v>
      </c>
      <c r="H248" s="31" t="s">
        <v>77</v>
      </c>
    </row>
    <row r="249" spans="1:8">
      <c r="A249" s="30">
        <v>44541</v>
      </c>
      <c r="B249" s="31" t="s">
        <v>15</v>
      </c>
      <c r="C249" s="31" t="s">
        <v>2</v>
      </c>
      <c r="D249" s="29">
        <v>3</v>
      </c>
      <c r="E249" s="29">
        <v>89.9</v>
      </c>
      <c r="F249" s="29">
        <v>0.2</v>
      </c>
      <c r="G249" s="29">
        <v>269.7</v>
      </c>
      <c r="H249" s="31" t="s">
        <v>73</v>
      </c>
    </row>
    <row r="250" spans="1:8">
      <c r="A250" s="30">
        <v>44542</v>
      </c>
      <c r="B250" s="31" t="s">
        <v>69</v>
      </c>
      <c r="C250" s="31" t="s">
        <v>4</v>
      </c>
      <c r="D250" s="29">
        <v>10</v>
      </c>
      <c r="E250" s="29">
        <v>89.9</v>
      </c>
      <c r="F250" s="29">
        <v>0.2</v>
      </c>
      <c r="G250" s="29">
        <v>899</v>
      </c>
      <c r="H250" s="31" t="s">
        <v>73</v>
      </c>
    </row>
    <row r="251" spans="1:8">
      <c r="A251" s="30">
        <v>44543</v>
      </c>
      <c r="B251" s="31" t="s">
        <v>56</v>
      </c>
      <c r="C251" s="31" t="s">
        <v>2</v>
      </c>
      <c r="D251" s="29">
        <v>6</v>
      </c>
      <c r="E251" s="29">
        <v>72.5</v>
      </c>
      <c r="F251" s="29">
        <v>0.15</v>
      </c>
      <c r="G251" s="29">
        <v>435</v>
      </c>
      <c r="H251" s="31" t="s">
        <v>74</v>
      </c>
    </row>
    <row r="252" spans="1:8">
      <c r="A252" s="30">
        <v>44544</v>
      </c>
      <c r="B252" s="31" t="s">
        <v>9</v>
      </c>
      <c r="C252" s="31" t="s">
        <v>2</v>
      </c>
      <c r="D252" s="29">
        <v>1</v>
      </c>
      <c r="E252" s="29">
        <v>69.900000000000006</v>
      </c>
      <c r="F252" s="29">
        <v>0.1</v>
      </c>
      <c r="G252" s="29">
        <v>69.900000000000006</v>
      </c>
      <c r="H252" s="31" t="s">
        <v>76</v>
      </c>
    </row>
    <row r="253" spans="1:8">
      <c r="A253" s="30">
        <v>44545</v>
      </c>
      <c r="B253" s="31" t="s">
        <v>58</v>
      </c>
      <c r="C253" s="31" t="s">
        <v>2</v>
      </c>
      <c r="D253" s="29">
        <v>8</v>
      </c>
      <c r="E253" s="29">
        <v>289.89999999999998</v>
      </c>
      <c r="F253" s="29">
        <v>0.2</v>
      </c>
      <c r="G253" s="29">
        <v>2319.1999999999998</v>
      </c>
      <c r="H253" s="31" t="s">
        <v>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20"/>
  <sheetViews>
    <sheetView workbookViewId="0">
      <selection activeCell="E16" sqref="E16"/>
    </sheetView>
  </sheetViews>
  <sheetFormatPr defaultRowHeight="14.4"/>
  <cols>
    <col min="1" max="1" width="8" customWidth="1"/>
    <col min="2" max="2" width="30.88671875" customWidth="1"/>
    <col min="3" max="9" width="17.44140625" customWidth="1"/>
  </cols>
  <sheetData>
    <row r="1" spans="2:10" s="6" customFormat="1" ht="40.200000000000003" customHeight="1">
      <c r="B1" s="19" t="s">
        <v>78</v>
      </c>
      <c r="C1" s="11"/>
      <c r="D1" s="11"/>
      <c r="E1" s="11"/>
      <c r="F1" s="11"/>
      <c r="G1" s="11"/>
      <c r="H1" s="11"/>
      <c r="I1" s="10"/>
      <c r="J1" s="10"/>
    </row>
    <row r="2" spans="2:10" s="7" customFormat="1" ht="4.5" customHeight="1">
      <c r="B2" s="9"/>
      <c r="C2" s="9"/>
      <c r="D2" s="9"/>
      <c r="E2" s="9"/>
      <c r="F2" s="9"/>
      <c r="G2" s="9"/>
    </row>
    <row r="3" spans="2:10" ht="4.5" customHeight="1" thickBot="1">
      <c r="B3" s="8"/>
      <c r="C3" s="8"/>
      <c r="D3" s="8"/>
      <c r="E3" s="8"/>
      <c r="F3" s="8"/>
      <c r="G3" s="8"/>
    </row>
    <row r="4" spans="2:10" ht="22.2" thickBot="1">
      <c r="B4" s="3" t="s">
        <v>7</v>
      </c>
      <c r="C4" s="4">
        <v>1</v>
      </c>
      <c r="D4" s="5">
        <v>2</v>
      </c>
      <c r="E4" s="4">
        <v>3</v>
      </c>
      <c r="F4" s="5">
        <v>4</v>
      </c>
      <c r="G4" s="4">
        <v>5</v>
      </c>
      <c r="H4" s="5">
        <v>6</v>
      </c>
      <c r="I4" s="4">
        <v>7</v>
      </c>
    </row>
    <row r="5" spans="2:10" s="14" customFormat="1" ht="22.2" thickBot="1">
      <c r="B5" s="12" t="s">
        <v>79</v>
      </c>
      <c r="C5" s="13" t="s">
        <v>80</v>
      </c>
      <c r="D5" s="13" t="s">
        <v>81</v>
      </c>
      <c r="E5" s="13" t="s">
        <v>82</v>
      </c>
      <c r="F5" s="13" t="s">
        <v>83</v>
      </c>
      <c r="G5" s="13" t="s">
        <v>84</v>
      </c>
      <c r="H5" s="13" t="s">
        <v>85</v>
      </c>
      <c r="I5" s="13" t="s">
        <v>86</v>
      </c>
    </row>
    <row r="7" spans="2:10" ht="15" thickBot="1"/>
    <row r="8" spans="2:10" ht="43.8" thickBot="1">
      <c r="B8" s="16" t="s">
        <v>87</v>
      </c>
      <c r="C8" s="17" t="s">
        <v>3</v>
      </c>
      <c r="D8" s="17" t="s">
        <v>2</v>
      </c>
      <c r="E8" s="17" t="s">
        <v>4</v>
      </c>
      <c r="G8" s="22" t="s">
        <v>0</v>
      </c>
      <c r="H8" s="23" t="s">
        <v>88</v>
      </c>
    </row>
    <row r="9" spans="2:10" ht="17.399999999999999" thickBot="1">
      <c r="B9" s="13">
        <v>1</v>
      </c>
      <c r="C9" s="15">
        <v>0</v>
      </c>
      <c r="D9" s="15">
        <v>0.1</v>
      </c>
      <c r="E9" s="18">
        <v>0</v>
      </c>
      <c r="G9" s="13" t="s">
        <v>3</v>
      </c>
      <c r="H9" s="24">
        <v>5</v>
      </c>
    </row>
    <row r="10" spans="2:10" ht="17.399999999999999" thickBot="1">
      <c r="B10" s="13">
        <v>2</v>
      </c>
      <c r="C10" s="15">
        <v>0.05</v>
      </c>
      <c r="D10" s="15">
        <v>0.15</v>
      </c>
      <c r="E10" s="18">
        <v>0.1</v>
      </c>
      <c r="G10" s="13" t="s">
        <v>2</v>
      </c>
      <c r="H10" s="24">
        <v>10</v>
      </c>
    </row>
    <row r="11" spans="2:10" ht="17.399999999999999" thickBot="1">
      <c r="B11" s="13">
        <v>3</v>
      </c>
      <c r="C11" s="15">
        <v>0.15</v>
      </c>
      <c r="D11" s="15">
        <v>0.2</v>
      </c>
      <c r="E11" s="18">
        <v>0.15</v>
      </c>
      <c r="G11" s="13" t="s">
        <v>4</v>
      </c>
      <c r="H11" s="24">
        <v>15</v>
      </c>
    </row>
    <row r="12" spans="2:10" ht="17.399999999999999" thickBot="1">
      <c r="B12" s="13">
        <v>5</v>
      </c>
      <c r="C12" s="15">
        <v>0.25</v>
      </c>
      <c r="D12" s="15">
        <v>0.25</v>
      </c>
      <c r="E12" s="18">
        <v>0.25</v>
      </c>
    </row>
    <row r="13" spans="2:10" ht="17.399999999999999" thickBot="1">
      <c r="B13" s="13">
        <v>10</v>
      </c>
      <c r="C13" s="15">
        <v>0.3</v>
      </c>
      <c r="D13" s="15">
        <v>0.3</v>
      </c>
      <c r="E13" s="18">
        <v>0.3</v>
      </c>
      <c r="G13" s="20"/>
    </row>
    <row r="15" spans="2:10" ht="23.4">
      <c r="B15" s="21"/>
      <c r="C15" s="21"/>
      <c r="D15" s="21"/>
      <c r="E15" s="21"/>
      <c r="F15" s="21"/>
    </row>
    <row r="16" spans="2:10" ht="23.4">
      <c r="B16" s="21"/>
      <c r="C16" s="21"/>
      <c r="D16" s="21"/>
      <c r="E16" s="21"/>
      <c r="F16" s="21"/>
    </row>
    <row r="17" spans="2:6" ht="23.4">
      <c r="B17" s="21"/>
      <c r="C17" s="21"/>
      <c r="D17" s="25"/>
      <c r="E17" s="21"/>
      <c r="F17" s="21"/>
    </row>
    <row r="18" spans="2:6" ht="23.4">
      <c r="B18" s="21"/>
      <c r="C18" s="21"/>
      <c r="D18" s="21"/>
      <c r="E18" s="21"/>
      <c r="F18" s="25"/>
    </row>
    <row r="19" spans="2:6" ht="23.4">
      <c r="B19" s="21"/>
      <c r="C19" s="21"/>
      <c r="D19" s="21"/>
      <c r="E19" s="21"/>
      <c r="F19" s="21"/>
    </row>
    <row r="20" spans="2:6" ht="23.4">
      <c r="B20" s="21"/>
      <c r="C20" s="21"/>
      <c r="D20" s="21"/>
      <c r="E20" s="21"/>
      <c r="F20" s="21"/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6030-8A14-4F89-8F67-EC6F55D52F00}">
  <sheetPr>
    <tabColor rgb="FF002060"/>
  </sheetPr>
  <dimension ref="A1:O16"/>
  <sheetViews>
    <sheetView workbookViewId="0">
      <selection activeCell="G19" sqref="G19"/>
    </sheetView>
  </sheetViews>
  <sheetFormatPr defaultRowHeight="14.4"/>
  <cols>
    <col min="1" max="1" width="17.44140625" bestFit="1" customWidth="1"/>
    <col min="2" max="2" width="14" bestFit="1" customWidth="1"/>
    <col min="3" max="3" width="6.33203125" bestFit="1" customWidth="1"/>
    <col min="4" max="4" width="17.44140625" bestFit="1" customWidth="1"/>
    <col min="5" max="5" width="14.109375" bestFit="1" customWidth="1"/>
    <col min="6" max="6" width="10.44140625" bestFit="1" customWidth="1"/>
    <col min="7" max="7" width="19" bestFit="1" customWidth="1"/>
    <col min="8" max="8" width="10.44140625" bestFit="1" customWidth="1"/>
    <col min="9" max="9" width="10.44140625" customWidth="1"/>
    <col min="10" max="10" width="2.77734375" customWidth="1"/>
    <col min="11" max="11" width="17.44140625" bestFit="1" customWidth="1"/>
    <col min="12" max="12" width="16.77734375" customWidth="1"/>
    <col min="13" max="13" width="10.44140625" bestFit="1" customWidth="1"/>
    <col min="14" max="14" width="18.44140625" customWidth="1"/>
    <col min="15" max="15" width="3.88671875" customWidth="1"/>
    <col min="16" max="16" width="4.109375" bestFit="1" customWidth="1"/>
    <col min="17" max="17" width="3.5546875" bestFit="1" customWidth="1"/>
    <col min="18" max="18" width="8.33203125" bestFit="1" customWidth="1"/>
    <col min="19" max="19" width="4.21875" bestFit="1" customWidth="1"/>
    <col min="20" max="20" width="4" bestFit="1" customWidth="1"/>
    <col min="21" max="21" width="10.44140625" bestFit="1" customWidth="1"/>
    <col min="22" max="249" width="19" bestFit="1" customWidth="1"/>
    <col min="250" max="250" width="10.44140625" bestFit="1" customWidth="1"/>
  </cols>
  <sheetData>
    <row r="1" spans="1:15" ht="15" thickBot="1"/>
    <row r="2" spans="1:15">
      <c r="J2" s="50"/>
      <c r="K2" s="51"/>
      <c r="L2" s="51"/>
      <c r="M2" s="51"/>
      <c r="N2" s="51"/>
      <c r="O2" s="52"/>
    </row>
    <row r="3" spans="1:15">
      <c r="A3" s="32" t="s">
        <v>90</v>
      </c>
      <c r="B3" t="s">
        <v>105</v>
      </c>
      <c r="D3" s="32" t="s">
        <v>90</v>
      </c>
      <c r="E3" t="s">
        <v>105</v>
      </c>
      <c r="J3" s="53"/>
      <c r="K3" s="54" t="s">
        <v>114</v>
      </c>
      <c r="L3" s="55"/>
      <c r="M3" s="55"/>
      <c r="N3" s="55"/>
      <c r="O3" s="56"/>
    </row>
    <row r="4" spans="1:15">
      <c r="A4" s="33" t="s">
        <v>93</v>
      </c>
      <c r="B4" s="34">
        <v>27065.5</v>
      </c>
      <c r="D4" s="33" t="s">
        <v>108</v>
      </c>
      <c r="E4" s="34">
        <v>36204.6</v>
      </c>
      <c r="G4" s="32" t="s">
        <v>111</v>
      </c>
      <c r="J4" s="53"/>
      <c r="K4" s="57" t="s">
        <v>90</v>
      </c>
      <c r="L4" s="58" t="s">
        <v>112</v>
      </c>
      <c r="M4" s="58" t="s">
        <v>113</v>
      </c>
      <c r="N4" s="58" t="s">
        <v>105</v>
      </c>
      <c r="O4" s="56"/>
    </row>
    <row r="5" spans="1:15">
      <c r="A5" s="33" t="s">
        <v>94</v>
      </c>
      <c r="B5" s="34">
        <v>7502.6</v>
      </c>
      <c r="D5" s="33" t="s">
        <v>109</v>
      </c>
      <c r="E5" s="34">
        <v>36468.6</v>
      </c>
      <c r="G5" t="s">
        <v>92</v>
      </c>
      <c r="H5" t="s">
        <v>91</v>
      </c>
      <c r="J5" s="53"/>
      <c r="K5" s="59" t="s">
        <v>3</v>
      </c>
      <c r="L5" s="60">
        <v>0.15173704728715764</v>
      </c>
      <c r="M5" s="60">
        <v>-0.84826295271284236</v>
      </c>
      <c r="N5" s="61">
        <v>31476.5</v>
      </c>
      <c r="O5" s="56"/>
    </row>
    <row r="6" spans="1:15">
      <c r="A6" s="33" t="s">
        <v>95</v>
      </c>
      <c r="B6" s="34">
        <v>7197.4</v>
      </c>
      <c r="D6" s="33" t="s">
        <v>106</v>
      </c>
      <c r="E6" s="34">
        <v>37864</v>
      </c>
      <c r="J6" s="53"/>
      <c r="K6" s="59" t="s">
        <v>4</v>
      </c>
      <c r="L6" s="60">
        <v>0.19696868171254395</v>
      </c>
      <c r="M6" s="60">
        <v>-0.803031318287456</v>
      </c>
      <c r="N6" s="61">
        <v>40859.4</v>
      </c>
      <c r="O6" s="56"/>
    </row>
    <row r="7" spans="1:15">
      <c r="A7" s="33" t="s">
        <v>96</v>
      </c>
      <c r="B7" s="34">
        <v>17379.8</v>
      </c>
      <c r="D7" s="33" t="s">
        <v>110</v>
      </c>
      <c r="E7" s="34">
        <v>47690</v>
      </c>
      <c r="J7" s="53"/>
      <c r="K7" s="59" t="s">
        <v>2</v>
      </c>
      <c r="L7" s="60">
        <v>0.65129427100029846</v>
      </c>
      <c r="M7" s="60">
        <v>-0.34870572899970154</v>
      </c>
      <c r="N7" s="61">
        <v>135105.20000000001</v>
      </c>
      <c r="O7" s="56"/>
    </row>
    <row r="8" spans="1:15">
      <c r="A8" s="33" t="s">
        <v>97</v>
      </c>
      <c r="B8" s="34">
        <v>20685.5</v>
      </c>
      <c r="D8" s="33" t="s">
        <v>107</v>
      </c>
      <c r="E8" s="34">
        <v>49213.9</v>
      </c>
      <c r="J8" s="53"/>
      <c r="K8" s="59" t="s">
        <v>91</v>
      </c>
      <c r="L8" s="60">
        <v>1</v>
      </c>
      <c r="M8" s="60">
        <v>0</v>
      </c>
      <c r="N8" s="61">
        <v>207441.1</v>
      </c>
      <c r="O8" s="56"/>
    </row>
    <row r="9" spans="1:15">
      <c r="A9" s="33" t="s">
        <v>98</v>
      </c>
      <c r="B9" s="34">
        <v>22586.3</v>
      </c>
      <c r="D9" s="33" t="s">
        <v>91</v>
      </c>
      <c r="E9" s="34">
        <v>207441.1</v>
      </c>
      <c r="J9" s="53"/>
      <c r="K9" s="55"/>
      <c r="L9" s="62"/>
      <c r="M9" s="62"/>
      <c r="N9" s="55"/>
      <c r="O9" s="56"/>
    </row>
    <row r="10" spans="1:15">
      <c r="A10" s="33" t="s">
        <v>99</v>
      </c>
      <c r="B10" s="34">
        <v>18730.099999999999</v>
      </c>
      <c r="J10" s="53"/>
      <c r="K10" s="63" t="s">
        <v>115</v>
      </c>
      <c r="L10" s="62"/>
      <c r="M10" s="62"/>
      <c r="N10" s="55"/>
      <c r="O10" s="56"/>
    </row>
    <row r="11" spans="1:15">
      <c r="A11" s="33" t="s">
        <v>100</v>
      </c>
      <c r="B11" s="34">
        <v>21585.8</v>
      </c>
      <c r="J11" s="53"/>
      <c r="K11" s="55" t="str">
        <f>K5</f>
        <v>Acessórios</v>
      </c>
      <c r="L11" s="62">
        <f>GETPIVOTDATA("[Measures].[%Categorias]",$K$4,"[CLT_Vendas].[Categoria]","[CLT_Vendas].[Categoria].&amp;[Acessórios]")</f>
        <v>0.15173704728715764</v>
      </c>
      <c r="M11" s="62">
        <f>GETPIVOTDATA("[Measures].[%Restante]",$K$4,"[CLT_Vendas].[Categoria]","[CLT_Vendas].[Categoria].&amp;[Acessórios]")</f>
        <v>-0.84826295271284236</v>
      </c>
      <c r="N11" s="55"/>
      <c r="O11" s="56"/>
    </row>
    <row r="12" spans="1:15">
      <c r="A12" s="33" t="s">
        <v>101</v>
      </c>
      <c r="B12" s="34">
        <v>19851</v>
      </c>
      <c r="J12" s="53"/>
      <c r="K12" s="55" t="str">
        <f>K6</f>
        <v>Calçado</v>
      </c>
      <c r="L12" s="62">
        <f>GETPIVOTDATA("[Measures].[%Categorias]",$K$4,"[CLT_Vendas].[Categoria]","[CLT_Vendas].[Categoria].&amp;[Calçado]")</f>
        <v>0.19696868171254395</v>
      </c>
      <c r="M12" s="62">
        <f>GETPIVOTDATA("[Measures].[%Restante]",$K$4,"[CLT_Vendas].[Categoria]","[CLT_Vendas].[Categoria].&amp;[Calçado]")</f>
        <v>-0.803031318287456</v>
      </c>
      <c r="N12" s="55"/>
      <c r="O12" s="56"/>
    </row>
    <row r="13" spans="1:15">
      <c r="A13" s="33" t="s">
        <v>102</v>
      </c>
      <c r="B13" s="34">
        <v>15659.4</v>
      </c>
      <c r="J13" s="53"/>
      <c r="K13" s="55" t="str">
        <f>K7</f>
        <v>Vestuário</v>
      </c>
      <c r="L13" s="62">
        <f>GETPIVOTDATA("[Measures].[%Categorias]",$K$4,"[CLT_Vendas].[Categoria]","[CLT_Vendas].[Categoria].&amp;[Vestuário]")</f>
        <v>0.65129427100029846</v>
      </c>
      <c r="M13" s="62">
        <f>GETPIVOTDATA("[Measures].[%Restante]",$K$4,"[CLT_Vendas].[Categoria]","[CLT_Vendas].[Categoria].&amp;[Vestuário]")</f>
        <v>-0.34870572899970154</v>
      </c>
      <c r="N13" s="55"/>
      <c r="O13" s="56"/>
    </row>
    <row r="14" spans="1:15" ht="15" thickBot="1">
      <c r="A14" s="33" t="s">
        <v>103</v>
      </c>
      <c r="B14" s="34">
        <v>9455.2000000000007</v>
      </c>
      <c r="J14" s="64"/>
      <c r="K14" s="65"/>
      <c r="L14" s="65"/>
      <c r="M14" s="65"/>
      <c r="N14" s="65"/>
      <c r="O14" s="66"/>
    </row>
    <row r="15" spans="1:15">
      <c r="A15" s="33" t="s">
        <v>104</v>
      </c>
      <c r="B15" s="34">
        <v>19742.5</v>
      </c>
    </row>
    <row r="16" spans="1:15">
      <c r="A16" s="33" t="s">
        <v>91</v>
      </c>
      <c r="B16" s="34">
        <v>207441.1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64ED-3CCA-4B86-B7AD-698F177971BB}">
  <dimension ref="A1:CB59"/>
  <sheetViews>
    <sheetView showGridLines="0" showRowColHeaders="0" tabSelected="1" zoomScale="110" zoomScaleNormal="110" workbookViewId="0">
      <selection activeCell="AQ3" sqref="AQ3"/>
    </sheetView>
  </sheetViews>
  <sheetFormatPr defaultColWidth="0" defaultRowHeight="9.75" customHeight="1" zeroHeight="1"/>
  <cols>
    <col min="1" max="81" width="2" style="1" customWidth="1"/>
    <col min="82" max="16384" width="8.88671875" style="1" hidden="1"/>
  </cols>
  <sheetData>
    <row r="1" spans="1:80" s="67" customFormat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80" s="67" customFormat="1" ht="9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1"/>
      <c r="AP2" s="1"/>
      <c r="AQ2" s="26"/>
      <c r="AR2" s="26"/>
      <c r="AS2" s="26"/>
      <c r="AT2" s="26"/>
      <c r="AU2" s="26"/>
      <c r="AV2" s="26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</row>
    <row r="3" spans="1:80" s="67" customFormat="1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1"/>
      <c r="AP3" s="1"/>
      <c r="AQ3" s="26"/>
      <c r="AR3" s="26"/>
      <c r="AS3" s="26"/>
      <c r="AT3" s="26"/>
      <c r="AU3" s="26"/>
      <c r="AV3" s="26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</row>
    <row r="4" spans="1:80" s="67" customFormat="1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1"/>
      <c r="AP4" s="1"/>
      <c r="AQ4" s="27"/>
      <c r="AR4" s="27"/>
      <c r="AS4" s="27"/>
      <c r="AT4" s="27"/>
      <c r="AU4" s="27"/>
      <c r="AV4" s="27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</row>
    <row r="5" spans="1:80" s="67" customFormat="1" ht="9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1"/>
      <c r="AP5" s="1"/>
      <c r="AQ5" s="27"/>
      <c r="AR5" s="27"/>
      <c r="AS5" s="27"/>
      <c r="AT5" s="27"/>
      <c r="AU5" s="27"/>
      <c r="AV5" s="27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</row>
    <row r="6" spans="1:80" s="67" customFormat="1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1"/>
      <c r="AP6" s="1"/>
      <c r="AQ6" s="27"/>
      <c r="AR6" s="27"/>
      <c r="AS6" s="27"/>
      <c r="AT6" s="27"/>
      <c r="AU6" s="27"/>
      <c r="AV6" s="27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</row>
    <row r="7" spans="1:80" s="67" customFormat="1" ht="9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1"/>
      <c r="AP7" s="1"/>
      <c r="AQ7" s="27"/>
      <c r="AR7" s="27"/>
      <c r="AS7" s="27"/>
      <c r="AT7" s="27"/>
      <c r="AU7" s="27"/>
      <c r="AV7" s="27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</row>
    <row r="8" spans="1:80" s="67" customFormat="1" ht="9.75" customHeight="1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80" ht="9.75" customHeight="1">
      <c r="C9" s="35" t="s">
        <v>49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7"/>
    </row>
    <row r="10" spans="1:80" ht="9.75" customHeight="1" thickBot="1"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40"/>
    </row>
    <row r="11" spans="1:80" ht="9.75" customHeight="1">
      <c r="C11" s="4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3"/>
    </row>
    <row r="12" spans="1:80" ht="9.75" customHeight="1">
      <c r="C12" s="44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6"/>
    </row>
    <row r="13" spans="1:80" ht="9.75" customHeight="1">
      <c r="C13" s="44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6"/>
    </row>
    <row r="14" spans="1:80" ht="9.75" customHeight="1">
      <c r="C14" s="44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6"/>
    </row>
    <row r="15" spans="1:80" ht="9.75" customHeight="1">
      <c r="C15" s="44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6"/>
    </row>
    <row r="16" spans="1:80" ht="9.75" customHeight="1">
      <c r="C16" s="44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6"/>
    </row>
    <row r="17" spans="3:80" ht="9.75" customHeight="1">
      <c r="C17" s="44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6"/>
    </row>
    <row r="18" spans="3:80" ht="9.75" customHeight="1">
      <c r="C18" s="44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6"/>
    </row>
    <row r="19" spans="3:80" ht="9.75" customHeight="1">
      <c r="C19" s="44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6"/>
    </row>
    <row r="20" spans="3:80" ht="9.75" customHeight="1">
      <c r="C20" s="44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6"/>
    </row>
    <row r="21" spans="3:80" ht="9.75" customHeight="1">
      <c r="C21" s="44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6"/>
    </row>
    <row r="22" spans="3:80" ht="9.75" customHeight="1">
      <c r="C22" s="44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6"/>
    </row>
    <row r="23" spans="3:80" ht="9.75" customHeight="1">
      <c r="C23" s="44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6"/>
    </row>
    <row r="24" spans="3:80" ht="9.75" customHeight="1" thickBot="1">
      <c r="C24" s="47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9"/>
    </row>
    <row r="25" spans="3:80" ht="9.75" customHeight="1" thickBot="1"/>
    <row r="26" spans="3:80" ht="9.75" customHeight="1">
      <c r="C26" s="35" t="s">
        <v>50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7"/>
      <c r="AO26" s="2"/>
      <c r="AP26" s="2"/>
      <c r="AQ26" s="35" t="s">
        <v>51</v>
      </c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7"/>
    </row>
    <row r="27" spans="3:80" ht="9.75" customHeight="1" thickBot="1"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40"/>
      <c r="AO27" s="2"/>
      <c r="AP27" s="2"/>
      <c r="AQ27" s="38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40"/>
    </row>
    <row r="28" spans="3:80" ht="9.75" customHeight="1">
      <c r="C28" s="41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3"/>
      <c r="AQ28" s="41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3"/>
    </row>
    <row r="29" spans="3:80" ht="9.75" customHeight="1">
      <c r="C29" s="44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6"/>
      <c r="AQ29" s="44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6"/>
    </row>
    <row r="30" spans="3:80" ht="9.75" customHeight="1">
      <c r="C30" s="44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6"/>
      <c r="AQ30" s="44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6"/>
    </row>
    <row r="31" spans="3:80" ht="9.75" customHeight="1">
      <c r="C31" s="44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6"/>
      <c r="AQ31" s="44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6"/>
    </row>
    <row r="32" spans="3:80" ht="9.75" customHeight="1">
      <c r="C32" s="44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6"/>
      <c r="AQ32" s="44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6"/>
    </row>
    <row r="33" spans="3:80" ht="9.75" customHeight="1">
      <c r="C33" s="44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6"/>
      <c r="AQ33" s="44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6"/>
    </row>
    <row r="34" spans="3:80" ht="9.75" customHeight="1">
      <c r="C34" s="44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6"/>
      <c r="AQ34" s="44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6"/>
    </row>
    <row r="35" spans="3:80" ht="9.75" customHeight="1">
      <c r="C35" s="44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6"/>
      <c r="AQ35" s="44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6"/>
    </row>
    <row r="36" spans="3:80" ht="9.75" customHeight="1">
      <c r="C36" s="44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6"/>
      <c r="AQ36" s="44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6"/>
    </row>
    <row r="37" spans="3:80" ht="9.75" customHeight="1">
      <c r="C37" s="44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6"/>
      <c r="AQ37" s="44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6"/>
    </row>
    <row r="38" spans="3:80" ht="9.75" customHeight="1">
      <c r="C38" s="44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6"/>
      <c r="AQ38" s="44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6"/>
    </row>
    <row r="39" spans="3:80" ht="9.75" customHeight="1">
      <c r="C39" s="44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6"/>
      <c r="AQ39" s="44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6"/>
    </row>
    <row r="40" spans="3:80" ht="9.75" customHeight="1">
      <c r="C40" s="44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6"/>
      <c r="AQ40" s="44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6"/>
    </row>
    <row r="41" spans="3:80" ht="9.75" customHeight="1">
      <c r="C41" s="44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6"/>
      <c r="AQ41" s="44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6"/>
    </row>
    <row r="42" spans="3:80" ht="9.75" customHeight="1">
      <c r="C42" s="44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6"/>
      <c r="AQ42" s="44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6"/>
    </row>
    <row r="43" spans="3:80" ht="9.75" customHeight="1">
      <c r="C43" s="44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6"/>
      <c r="AQ43" s="44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6"/>
    </row>
    <row r="44" spans="3:80" ht="9.75" customHeight="1">
      <c r="C44" s="44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6"/>
      <c r="AQ44" s="44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6"/>
    </row>
    <row r="45" spans="3:80" ht="9.75" customHeight="1">
      <c r="C45" s="44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6"/>
      <c r="AQ45" s="44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6"/>
    </row>
    <row r="46" spans="3:80" ht="9.75" customHeight="1" thickBot="1">
      <c r="C46" s="47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9"/>
      <c r="AQ46" s="47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9"/>
    </row>
    <row r="47" spans="3:80" ht="9.75" customHeight="1"/>
    <row r="49" s="1" customFormat="1" ht="9.75" hidden="1" customHeight="1"/>
    <row r="50" s="1" customFormat="1" ht="9.75" hidden="1" customHeight="1"/>
    <row r="51" s="1" customFormat="1" ht="9.75" hidden="1" customHeight="1"/>
    <row r="52" s="1" customFormat="1" ht="9.75" hidden="1" customHeight="1"/>
    <row r="53" s="1" customFormat="1" ht="9.75" hidden="1" customHeight="1"/>
    <row r="54" s="1" customFormat="1" ht="9.75" hidden="1" customHeight="1"/>
    <row r="55" s="1" customFormat="1" ht="9.75" hidden="1" customHeight="1"/>
    <row r="56" s="1" customFormat="1" ht="9.75" hidden="1" customHeight="1"/>
    <row r="57" s="1" customFormat="1" ht="9.75" hidden="1" customHeight="1"/>
    <row r="58" s="1" customFormat="1" ht="9.75" hidden="1" customHeight="1"/>
    <row r="59" s="1" customFormat="1" ht="9.75" hidden="1" customHeight="1"/>
  </sheetData>
  <sheetProtection selectLockedCells="1"/>
  <mergeCells count="6">
    <mergeCell ref="C9:CB10"/>
    <mergeCell ref="C11:CB24"/>
    <mergeCell ref="C26:AN27"/>
    <mergeCell ref="AQ26:CB27"/>
    <mergeCell ref="C28:AN46"/>
    <mergeCell ref="AQ28:CB4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77072F31-D762-4318-BD47-917AC6BCF19A}">
  <ds:schemaRefs/>
</ds:datastoreItem>
</file>

<file path=customXml/itemProps2.xml><?xml version="1.0" encoding="utf-8"?>
<ds:datastoreItem xmlns:ds="http://schemas.openxmlformats.org/officeDocument/2006/customXml" ds:itemID="{14F30766-877F-4CEE-8B61-99D4DA6E0404}">
  <ds:schemaRefs/>
</ds:datastoreItem>
</file>

<file path=customXml/itemProps3.xml><?xml version="1.0" encoding="utf-8"?>
<ds:datastoreItem xmlns:ds="http://schemas.openxmlformats.org/officeDocument/2006/customXml" ds:itemID="{7E0C7BAF-40DC-4B74-98A7-8D734812F189}">
  <ds:schemaRefs/>
</ds:datastoreItem>
</file>

<file path=customXml/itemProps4.xml><?xml version="1.0" encoding="utf-8"?>
<ds:datastoreItem xmlns:ds="http://schemas.openxmlformats.org/officeDocument/2006/customXml" ds:itemID="{E137AB40-1728-4643-B64A-5DFE56A4798E}">
  <ds:schemaRefs/>
</ds:datastoreItem>
</file>

<file path=customXml/itemProps5.xml><?xml version="1.0" encoding="utf-8"?>
<ds:datastoreItem xmlns:ds="http://schemas.openxmlformats.org/officeDocument/2006/customXml" ds:itemID="{C764DF94-E366-48D4-986E-013B7086CDEA}">
  <ds:schemaRefs/>
</ds:datastoreItem>
</file>

<file path=customXml/itemProps6.xml><?xml version="1.0" encoding="utf-8"?>
<ds:datastoreItem xmlns:ds="http://schemas.openxmlformats.org/officeDocument/2006/customXml" ds:itemID="{976831BA-0CE6-4B82-881B-24FD45E1155C}">
  <ds:schemaRefs/>
</ds:datastoreItem>
</file>

<file path=customXml/itemProps7.xml><?xml version="1.0" encoding="utf-8"?>
<ds:datastoreItem xmlns:ds="http://schemas.openxmlformats.org/officeDocument/2006/customXml" ds:itemID="{AB524BF0-2866-4F2E-B9D9-B7538D8EA4BC}">
  <ds:schemaRefs/>
</ds:datastoreItem>
</file>

<file path=customXml/itemProps8.xml><?xml version="1.0" encoding="utf-8"?>
<ds:datastoreItem xmlns:ds="http://schemas.openxmlformats.org/officeDocument/2006/customXml" ds:itemID="{FCD5720C-B2AE-44A6-AE4E-44F655279697}">
  <ds:schemaRefs/>
</ds:datastoreItem>
</file>

<file path=customXml/itemProps9.xml><?xml version="1.0" encoding="utf-8"?>
<ds:datastoreItem xmlns:ds="http://schemas.openxmlformats.org/officeDocument/2006/customXml" ds:itemID="{4A8E958C-7F93-4889-B450-DBCB563BE705}">
  <ds:schemaRefs/>
</ds:datastoreItem>
</file>

<file path=customXml/itemProps10.xml><?xml version="1.0" encoding="utf-8"?>
<ds:datastoreItem xmlns:ds="http://schemas.openxmlformats.org/officeDocument/2006/customXml" ds:itemID="{6E87F8A6-5B3C-4ADE-98DB-48C175F0A2B0}">
  <ds:schemaRefs/>
</ds:datastoreItem>
</file>

<file path=customXml/itemProps11.xml><?xml version="1.0" encoding="utf-8"?>
<ds:datastoreItem xmlns:ds="http://schemas.openxmlformats.org/officeDocument/2006/customXml" ds:itemID="{4D7E8880-A50A-4334-B18F-AA76241AC0C8}">
  <ds:schemaRefs/>
</ds:datastoreItem>
</file>

<file path=customXml/itemProps12.xml><?xml version="1.0" encoding="utf-8"?>
<ds:datastoreItem xmlns:ds="http://schemas.openxmlformats.org/officeDocument/2006/customXml" ds:itemID="{AAC1F453-8408-4469-B348-4E3CADB3F828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B21C3F93-5E73-42A5-930D-80E9914997CC}">
  <ds:schemaRefs/>
</ds:datastoreItem>
</file>

<file path=customXml/itemProps14.xml><?xml version="1.0" encoding="utf-8"?>
<ds:datastoreItem xmlns:ds="http://schemas.openxmlformats.org/officeDocument/2006/customXml" ds:itemID="{0C006383-B5B9-43F7-95D6-83AE067A5E86}">
  <ds:schemaRefs/>
</ds:datastoreItem>
</file>

<file path=customXml/itemProps15.xml><?xml version="1.0" encoding="utf-8"?>
<ds:datastoreItem xmlns:ds="http://schemas.openxmlformats.org/officeDocument/2006/customXml" ds:itemID="{E3E42B52-6995-4936-B73C-115E2F5684BD}">
  <ds:schemaRefs/>
</ds:datastoreItem>
</file>

<file path=customXml/itemProps16.xml><?xml version="1.0" encoding="utf-8"?>
<ds:datastoreItem xmlns:ds="http://schemas.openxmlformats.org/officeDocument/2006/customXml" ds:itemID="{62AA0F45-FA74-4809-BE52-ECA57F0FBCC7}">
  <ds:schemaRefs/>
</ds:datastoreItem>
</file>

<file path=customXml/itemProps17.xml><?xml version="1.0" encoding="utf-8"?>
<ds:datastoreItem xmlns:ds="http://schemas.openxmlformats.org/officeDocument/2006/customXml" ds:itemID="{5CD822F0-A8BD-4F1A-B341-5C8B7EC33C6C}">
  <ds:schemaRefs/>
</ds:datastoreItem>
</file>

<file path=customXml/itemProps18.xml><?xml version="1.0" encoding="utf-8"?>
<ds:datastoreItem xmlns:ds="http://schemas.openxmlformats.org/officeDocument/2006/customXml" ds:itemID="{57C5BA32-B4FF-44BA-B414-EF6410AFD30B}">
  <ds:schemaRefs/>
</ds:datastoreItem>
</file>

<file path=customXml/itemProps19.xml><?xml version="1.0" encoding="utf-8"?>
<ds:datastoreItem xmlns:ds="http://schemas.openxmlformats.org/officeDocument/2006/customXml" ds:itemID="{C69835A0-67A4-46BD-9257-C156F34F3FE0}">
  <ds:schemaRefs/>
</ds:datastoreItem>
</file>

<file path=customXml/itemProps20.xml><?xml version="1.0" encoding="utf-8"?>
<ds:datastoreItem xmlns:ds="http://schemas.openxmlformats.org/officeDocument/2006/customXml" ds:itemID="{6016651A-0720-4330-94EB-3C208B80AFBF}">
  <ds:schemaRefs/>
</ds:datastoreItem>
</file>

<file path=customXml/itemProps21.xml><?xml version="1.0" encoding="utf-8"?>
<ds:datastoreItem xmlns:ds="http://schemas.openxmlformats.org/officeDocument/2006/customXml" ds:itemID="{62D16766-D3A9-4D48-9BD1-83732ABD6C4D}">
  <ds:schemaRefs/>
</ds:datastoreItem>
</file>

<file path=customXml/itemProps22.xml><?xml version="1.0" encoding="utf-8"?>
<ds:datastoreItem xmlns:ds="http://schemas.openxmlformats.org/officeDocument/2006/customXml" ds:itemID="{AE5DCFFA-AE9C-4ABE-9CFE-5A2A457EC8A7}">
  <ds:schemaRefs/>
</ds:datastoreItem>
</file>

<file path=customXml/itemProps23.xml><?xml version="1.0" encoding="utf-8"?>
<ds:datastoreItem xmlns:ds="http://schemas.openxmlformats.org/officeDocument/2006/customXml" ds:itemID="{D6799D39-11F2-413E-A990-9C5F4B0E12ED}">
  <ds:schemaRefs/>
</ds:datastoreItem>
</file>

<file path=customXml/itemProps24.xml><?xml version="1.0" encoding="utf-8"?>
<ds:datastoreItem xmlns:ds="http://schemas.openxmlformats.org/officeDocument/2006/customXml" ds:itemID="{D8F1615C-0C0A-4F72-B994-A7B89B72F9FD}">
  <ds:schemaRefs/>
</ds:datastoreItem>
</file>

<file path=customXml/itemProps25.xml><?xml version="1.0" encoding="utf-8"?>
<ds:datastoreItem xmlns:ds="http://schemas.openxmlformats.org/officeDocument/2006/customXml" ds:itemID="{60981F50-B8BB-47E4-ADA3-2E4E8B0EB913}">
  <ds:schemaRefs/>
</ds:datastoreItem>
</file>

<file path=customXml/itemProps26.xml><?xml version="1.0" encoding="utf-8"?>
<ds:datastoreItem xmlns:ds="http://schemas.openxmlformats.org/officeDocument/2006/customXml" ds:itemID="{96E8EAA6-D89C-4A3C-AAF1-02DF9CA8AF6F}">
  <ds:schemaRefs/>
</ds:datastoreItem>
</file>

<file path=customXml/itemProps27.xml><?xml version="1.0" encoding="utf-8"?>
<ds:datastoreItem xmlns:ds="http://schemas.openxmlformats.org/officeDocument/2006/customXml" ds:itemID="{D615FA9D-8B17-451F-B520-BD4825FE550D}">
  <ds:schemaRefs/>
</ds:datastoreItem>
</file>

<file path=customXml/itemProps28.xml><?xml version="1.0" encoding="utf-8"?>
<ds:datastoreItem xmlns:ds="http://schemas.openxmlformats.org/officeDocument/2006/customXml" ds:itemID="{CED7FE77-4ECB-4706-A3D5-A112E8B4F7C5}">
  <ds:schemaRefs/>
</ds:datastoreItem>
</file>

<file path=customXml/itemProps29.xml><?xml version="1.0" encoding="utf-8"?>
<ds:datastoreItem xmlns:ds="http://schemas.openxmlformats.org/officeDocument/2006/customXml" ds:itemID="{362F2753-CBFE-401C-A22E-094B97B69440}">
  <ds:schemaRefs/>
</ds:datastoreItem>
</file>

<file path=customXml/itemProps30.xml><?xml version="1.0" encoding="utf-8"?>
<ds:datastoreItem xmlns:ds="http://schemas.openxmlformats.org/officeDocument/2006/customXml" ds:itemID="{75A1AF24-AD9B-49AD-8D0F-98B5D85B40C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Histórico_de_Vendas</vt:lpstr>
      <vt:lpstr>Cadastros Auxiliares</vt:lpstr>
      <vt:lpstr>Consulta</vt:lpstr>
      <vt:lpstr>Dashboard_Histórico</vt:lpstr>
      <vt:lpstr>Desc_Categorias</vt:lpstr>
      <vt:lpstr>Desc_Quantidades</vt:lpstr>
      <vt:lpstr>Desc_TabelaToda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Samir Oliveira</cp:lastModifiedBy>
  <cp:lastPrinted>2023-06-07T14:57:58Z</cp:lastPrinted>
  <dcterms:created xsi:type="dcterms:W3CDTF">2023-06-02T17:54:12Z</dcterms:created>
  <dcterms:modified xsi:type="dcterms:W3CDTF">2025-11-12T15:07:52Z</dcterms:modified>
</cp:coreProperties>
</file>